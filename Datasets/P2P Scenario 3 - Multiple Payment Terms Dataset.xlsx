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a6d49907f61831/Desktop/P2P Internship Project/Datasets/"/>
    </mc:Choice>
  </mc:AlternateContent>
  <xr:revisionPtr revIDLastSave="1" documentId="8_{C676999E-0F58-4CB5-9871-CF22A6703BE9}" xr6:coauthVersionLast="47" xr6:coauthVersionMax="47" xr10:uidLastSave="{6CCF3FDA-68BE-4F79-A536-1D5381F5B12A}"/>
  <bookViews>
    <workbookView xWindow="-110" yWindow="-110" windowWidth="19420" windowHeight="11500" xr2:uid="{A04B5964-380A-4811-8AD0-CA31F6804F75}"/>
  </bookViews>
  <sheets>
    <sheet name="P2P Scenario 3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01" i="1" l="1"/>
  <c r="I101" i="1"/>
  <c r="K101" i="1" s="1"/>
  <c r="J100" i="1"/>
  <c r="L100" i="1" s="1"/>
  <c r="I100" i="1"/>
  <c r="K100" i="1" s="1"/>
  <c r="J99" i="1"/>
  <c r="I99" i="1"/>
  <c r="J98" i="1"/>
  <c r="I98" i="1"/>
  <c r="J97" i="1"/>
  <c r="L97" i="1" s="1"/>
  <c r="I97" i="1"/>
  <c r="K97" i="1" s="1"/>
  <c r="M97" i="1" s="1"/>
  <c r="J96" i="1"/>
  <c r="L96" i="1" s="1"/>
  <c r="I96" i="1"/>
  <c r="K96" i="1" s="1"/>
  <c r="J95" i="1"/>
  <c r="L95" i="1" s="1"/>
  <c r="I95" i="1"/>
  <c r="K95" i="1" s="1"/>
  <c r="M95" i="1" s="1"/>
  <c r="J94" i="1"/>
  <c r="I94" i="1"/>
  <c r="J93" i="1"/>
  <c r="I93" i="1"/>
  <c r="J92" i="1"/>
  <c r="L92" i="1" s="1"/>
  <c r="I92" i="1"/>
  <c r="J91" i="1"/>
  <c r="L91" i="1" s="1"/>
  <c r="I91" i="1"/>
  <c r="J90" i="1"/>
  <c r="L90" i="1" s="1"/>
  <c r="I90" i="1"/>
  <c r="K90" i="1" s="1"/>
  <c r="M90" i="1" s="1"/>
  <c r="J89" i="1"/>
  <c r="L89" i="1" s="1"/>
  <c r="I89" i="1"/>
  <c r="K89" i="1" s="1"/>
  <c r="M89" i="1" s="1"/>
  <c r="J88" i="1"/>
  <c r="I88" i="1"/>
  <c r="K88" i="1" s="1"/>
  <c r="J87" i="1"/>
  <c r="I87" i="1"/>
  <c r="J86" i="1"/>
  <c r="L86" i="1" s="1"/>
  <c r="I86" i="1"/>
  <c r="J85" i="1"/>
  <c r="L85" i="1" s="1"/>
  <c r="I85" i="1"/>
  <c r="K85" i="1" s="1"/>
  <c r="M85" i="1" s="1"/>
  <c r="J84" i="1"/>
  <c r="L84" i="1" s="1"/>
  <c r="I84" i="1"/>
  <c r="K84" i="1" s="1"/>
  <c r="J83" i="1"/>
  <c r="I83" i="1"/>
  <c r="K83" i="1" s="1"/>
  <c r="J82" i="1"/>
  <c r="I82" i="1"/>
  <c r="K82" i="1" s="1"/>
  <c r="J81" i="1"/>
  <c r="I81" i="1"/>
  <c r="J80" i="1"/>
  <c r="I80" i="1"/>
  <c r="J79" i="1"/>
  <c r="L79" i="1" s="1"/>
  <c r="I79" i="1"/>
  <c r="K79" i="1" s="1"/>
  <c r="M79" i="1" s="1"/>
  <c r="J78" i="1"/>
  <c r="L78" i="1" s="1"/>
  <c r="I78" i="1"/>
  <c r="K78" i="1" s="1"/>
  <c r="J77" i="1"/>
  <c r="L77" i="1" s="1"/>
  <c r="I77" i="1"/>
  <c r="K77" i="1" s="1"/>
  <c r="M77" i="1" s="1"/>
  <c r="J76" i="1"/>
  <c r="I76" i="1"/>
  <c r="J75" i="1"/>
  <c r="I75" i="1"/>
  <c r="J74" i="1"/>
  <c r="L74" i="1" s="1"/>
  <c r="I74" i="1"/>
  <c r="J73" i="1"/>
  <c r="L73" i="1" s="1"/>
  <c r="I73" i="1"/>
  <c r="J72" i="1"/>
  <c r="L72" i="1" s="1"/>
  <c r="I72" i="1"/>
  <c r="K72" i="1" s="1"/>
  <c r="M72" i="1" s="1"/>
  <c r="J71" i="1"/>
  <c r="L71" i="1" s="1"/>
  <c r="I71" i="1"/>
  <c r="K71" i="1" s="1"/>
  <c r="J70" i="1"/>
  <c r="I70" i="1"/>
  <c r="K70" i="1" s="1"/>
  <c r="L69" i="1"/>
  <c r="J69" i="1"/>
  <c r="I69" i="1"/>
  <c r="J68" i="1"/>
  <c r="L68" i="1" s="1"/>
  <c r="I68" i="1"/>
  <c r="J67" i="1"/>
  <c r="L67" i="1" s="1"/>
  <c r="I67" i="1"/>
  <c r="K67" i="1" s="1"/>
  <c r="J66" i="1"/>
  <c r="L66" i="1" s="1"/>
  <c r="I66" i="1"/>
  <c r="K66" i="1" s="1"/>
  <c r="J65" i="1"/>
  <c r="I65" i="1"/>
  <c r="K65" i="1" s="1"/>
  <c r="J64" i="1"/>
  <c r="I64" i="1"/>
  <c r="K64" i="1" s="1"/>
  <c r="J63" i="1"/>
  <c r="I63" i="1"/>
  <c r="J62" i="1"/>
  <c r="I62" i="1"/>
  <c r="J61" i="1"/>
  <c r="L61" i="1" s="1"/>
  <c r="I61" i="1"/>
  <c r="K61" i="1" s="1"/>
  <c r="J60" i="1"/>
  <c r="L60" i="1" s="1"/>
  <c r="I60" i="1"/>
  <c r="K60" i="1" s="1"/>
  <c r="M60" i="1" s="1"/>
  <c r="J59" i="1"/>
  <c r="L59" i="1" s="1"/>
  <c r="I59" i="1"/>
  <c r="K59" i="1" s="1"/>
  <c r="M59" i="1" s="1"/>
  <c r="J58" i="1"/>
  <c r="I58" i="1"/>
  <c r="J57" i="1"/>
  <c r="I57" i="1"/>
  <c r="J56" i="1"/>
  <c r="L56" i="1" s="1"/>
  <c r="I56" i="1"/>
  <c r="J55" i="1"/>
  <c r="L55" i="1" s="1"/>
  <c r="I55" i="1"/>
  <c r="J54" i="1"/>
  <c r="L54" i="1" s="1"/>
  <c r="I54" i="1"/>
  <c r="K54" i="1" s="1"/>
  <c r="J53" i="1"/>
  <c r="L53" i="1" s="1"/>
  <c r="I53" i="1"/>
  <c r="K53" i="1" s="1"/>
  <c r="M53" i="1" s="1"/>
  <c r="J52" i="1"/>
  <c r="I52" i="1"/>
  <c r="K52" i="1" s="1"/>
  <c r="L51" i="1"/>
  <c r="J51" i="1"/>
  <c r="I51" i="1"/>
  <c r="J50" i="1"/>
  <c r="L50" i="1" s="1"/>
  <c r="I50" i="1"/>
  <c r="J49" i="1"/>
  <c r="L49" i="1" s="1"/>
  <c r="I49" i="1"/>
  <c r="K49" i="1" s="1"/>
  <c r="J48" i="1"/>
  <c r="L48" i="1" s="1"/>
  <c r="I48" i="1"/>
  <c r="K48" i="1" s="1"/>
  <c r="M48" i="1" s="1"/>
  <c r="J47" i="1"/>
  <c r="I47" i="1"/>
  <c r="K47" i="1" s="1"/>
  <c r="J46" i="1"/>
  <c r="I46" i="1"/>
  <c r="K46" i="1" s="1"/>
  <c r="J45" i="1"/>
  <c r="I45" i="1"/>
  <c r="K44" i="1"/>
  <c r="J44" i="1"/>
  <c r="I44" i="1"/>
  <c r="J43" i="1"/>
  <c r="L43" i="1" s="1"/>
  <c r="I43" i="1"/>
  <c r="K43" i="1" s="1"/>
  <c r="M43" i="1" s="1"/>
  <c r="J42" i="1"/>
  <c r="L42" i="1" s="1"/>
  <c r="I42" i="1"/>
  <c r="K42" i="1" s="1"/>
  <c r="M42" i="1" s="1"/>
  <c r="J41" i="1"/>
  <c r="L41" i="1" s="1"/>
  <c r="I41" i="1"/>
  <c r="K41" i="1" s="1"/>
  <c r="J40" i="1"/>
  <c r="I40" i="1"/>
  <c r="J39" i="1"/>
  <c r="I39" i="1"/>
  <c r="J38" i="1"/>
  <c r="L38" i="1" s="1"/>
  <c r="I38" i="1"/>
  <c r="J37" i="1"/>
  <c r="L37" i="1" s="1"/>
  <c r="I37" i="1"/>
  <c r="J36" i="1"/>
  <c r="L36" i="1" s="1"/>
  <c r="I36" i="1"/>
  <c r="K36" i="1" s="1"/>
  <c r="M36" i="1" s="1"/>
  <c r="J35" i="1"/>
  <c r="L35" i="1" s="1"/>
  <c r="I35" i="1"/>
  <c r="K35" i="1" s="1"/>
  <c r="M35" i="1" s="1"/>
  <c r="J34" i="1"/>
  <c r="I34" i="1"/>
  <c r="K34" i="1" s="1"/>
  <c r="L33" i="1"/>
  <c r="J33" i="1"/>
  <c r="I33" i="1"/>
  <c r="J32" i="1"/>
  <c r="L32" i="1" s="1"/>
  <c r="I32" i="1"/>
  <c r="J31" i="1"/>
  <c r="L31" i="1" s="1"/>
  <c r="I31" i="1"/>
  <c r="K31" i="1" s="1"/>
  <c r="M31" i="1" s="1"/>
  <c r="J30" i="1"/>
  <c r="L30" i="1" s="1"/>
  <c r="I30" i="1"/>
  <c r="K30" i="1" s="1"/>
  <c r="M30" i="1" s="1"/>
  <c r="J29" i="1"/>
  <c r="I29" i="1"/>
  <c r="K29" i="1" s="1"/>
  <c r="J28" i="1"/>
  <c r="I28" i="1"/>
  <c r="K28" i="1" s="1"/>
  <c r="J27" i="1"/>
  <c r="I27" i="1"/>
  <c r="K26" i="1"/>
  <c r="J26" i="1"/>
  <c r="I26" i="1"/>
  <c r="J25" i="1"/>
  <c r="L25" i="1" s="1"/>
  <c r="I25" i="1"/>
  <c r="K25" i="1" s="1"/>
  <c r="M25" i="1" s="1"/>
  <c r="J24" i="1"/>
  <c r="L24" i="1" s="1"/>
  <c r="I24" i="1"/>
  <c r="K24" i="1" s="1"/>
  <c r="M24" i="1" s="1"/>
  <c r="J23" i="1"/>
  <c r="L23" i="1" s="1"/>
  <c r="I23" i="1"/>
  <c r="K23" i="1" s="1"/>
  <c r="J22" i="1"/>
  <c r="I22" i="1"/>
  <c r="J21" i="1"/>
  <c r="I21" i="1"/>
  <c r="J20" i="1"/>
  <c r="L20" i="1" s="1"/>
  <c r="I20" i="1"/>
  <c r="J19" i="1"/>
  <c r="L11" i="1" s="1"/>
  <c r="I19" i="1"/>
  <c r="J18" i="1"/>
  <c r="L18" i="1" s="1"/>
  <c r="I18" i="1"/>
  <c r="K18" i="1" s="1"/>
  <c r="M18" i="1" s="1"/>
  <c r="J17" i="1"/>
  <c r="L17" i="1" s="1"/>
  <c r="I17" i="1"/>
  <c r="K17" i="1" s="1"/>
  <c r="M17" i="1" s="1"/>
  <c r="J16" i="1"/>
  <c r="I16" i="1"/>
  <c r="K16" i="1" s="1"/>
  <c r="L15" i="1"/>
  <c r="J15" i="1"/>
  <c r="I15" i="1"/>
  <c r="J14" i="1"/>
  <c r="L14" i="1" s="1"/>
  <c r="I14" i="1"/>
  <c r="J13" i="1"/>
  <c r="L13" i="1" s="1"/>
  <c r="I13" i="1"/>
  <c r="K13" i="1" s="1"/>
  <c r="M13" i="1" s="1"/>
  <c r="J12" i="1"/>
  <c r="L12" i="1" s="1"/>
  <c r="I12" i="1"/>
  <c r="K4" i="1" s="1"/>
  <c r="J11" i="1"/>
  <c r="I11" i="1"/>
  <c r="K11" i="1" s="1"/>
  <c r="J10" i="1"/>
  <c r="I10" i="1"/>
  <c r="K10" i="1" s="1"/>
  <c r="J9" i="1"/>
  <c r="I9" i="1"/>
  <c r="K8" i="1"/>
  <c r="J8" i="1"/>
  <c r="I8" i="1"/>
  <c r="J7" i="1"/>
  <c r="L7" i="1" s="1"/>
  <c r="I7" i="1"/>
  <c r="K7" i="1" s="1"/>
  <c r="M7" i="1" s="1"/>
  <c r="J6" i="1"/>
  <c r="L6" i="1" s="1"/>
  <c r="I6" i="1"/>
  <c r="K6" i="1" s="1"/>
  <c r="J5" i="1"/>
  <c r="L5" i="1" s="1"/>
  <c r="I5" i="1"/>
  <c r="K87" i="1" s="1"/>
  <c r="J4" i="1"/>
  <c r="I4" i="1"/>
  <c r="J3" i="1"/>
  <c r="I3" i="1"/>
  <c r="J2" i="1"/>
  <c r="L94" i="1" s="1"/>
  <c r="I2" i="1"/>
  <c r="M49" i="1" l="1"/>
  <c r="M84" i="1"/>
  <c r="M67" i="1"/>
  <c r="M41" i="1"/>
  <c r="M78" i="1"/>
  <c r="M96" i="1"/>
  <c r="M61" i="1"/>
  <c r="M88" i="1"/>
  <c r="M71" i="1"/>
  <c r="M10" i="1"/>
  <c r="M11" i="1"/>
  <c r="M28" i="1"/>
  <c r="M54" i="1"/>
  <c r="M100" i="1"/>
  <c r="M6" i="1"/>
  <c r="M23" i="1"/>
  <c r="M66" i="1"/>
  <c r="K19" i="1"/>
  <c r="M19" i="1" s="1"/>
  <c r="L44" i="1"/>
  <c r="M44" i="1" s="1"/>
  <c r="L62" i="1"/>
  <c r="K91" i="1"/>
  <c r="M91" i="1" s="1"/>
  <c r="L26" i="1"/>
  <c r="M26" i="1" s="1"/>
  <c r="K37" i="1"/>
  <c r="M37" i="1" s="1"/>
  <c r="K55" i="1"/>
  <c r="M55" i="1" s="1"/>
  <c r="K73" i="1"/>
  <c r="M73" i="1" s="1"/>
  <c r="L80" i="1"/>
  <c r="L98" i="1"/>
  <c r="K12" i="1"/>
  <c r="M12" i="1" s="1"/>
  <c r="L19" i="1"/>
  <c r="K5" i="1"/>
  <c r="M5" i="1" s="1"/>
  <c r="K63" i="1"/>
  <c r="K20" i="1"/>
  <c r="M20" i="1" s="1"/>
  <c r="L27" i="1"/>
  <c r="K56" i="1"/>
  <c r="M56" i="1" s="1"/>
  <c r="L63" i="1"/>
  <c r="K74" i="1"/>
  <c r="M74" i="1" s="1"/>
  <c r="L99" i="1"/>
  <c r="K62" i="1"/>
  <c r="M62" i="1" s="1"/>
  <c r="K27" i="1"/>
  <c r="L88" i="1"/>
  <c r="K38" i="1"/>
  <c r="M38" i="1" s="1"/>
  <c r="L81" i="1"/>
  <c r="K98" i="1"/>
  <c r="M98" i="1" s="1"/>
  <c r="L34" i="1"/>
  <c r="M34" i="1" s="1"/>
  <c r="L70" i="1"/>
  <c r="M70" i="1" s="1"/>
  <c r="L45" i="1"/>
  <c r="K92" i="1"/>
  <c r="M92" i="1" s="1"/>
  <c r="L2" i="1"/>
  <c r="L87" i="1"/>
  <c r="M87" i="1" s="1"/>
  <c r="K9" i="1"/>
  <c r="M9" i="1" s="1"/>
  <c r="K81" i="1"/>
  <c r="M81" i="1" s="1"/>
  <c r="L9" i="1"/>
  <c r="K39" i="1"/>
  <c r="K57" i="1"/>
  <c r="M57" i="1" s="1"/>
  <c r="K75" i="1"/>
  <c r="M75" i="1" s="1"/>
  <c r="L82" i="1"/>
  <c r="M82" i="1" s="1"/>
  <c r="K93" i="1"/>
  <c r="K80" i="1"/>
  <c r="M80" i="1" s="1"/>
  <c r="L16" i="1"/>
  <c r="M16" i="1" s="1"/>
  <c r="L52" i="1"/>
  <c r="M52" i="1" s="1"/>
  <c r="L10" i="1"/>
  <c r="L46" i="1"/>
  <c r="M46" i="1" s="1"/>
  <c r="L64" i="1"/>
  <c r="M64" i="1" s="1"/>
  <c r="L21" i="1"/>
  <c r="K32" i="1"/>
  <c r="M32" i="1" s="1"/>
  <c r="K68" i="1"/>
  <c r="M68" i="1" s="1"/>
  <c r="K86" i="1"/>
  <c r="M86" i="1" s="1"/>
  <c r="L8" i="1"/>
  <c r="M8" i="1" s="1"/>
  <c r="K45" i="1"/>
  <c r="M45" i="1" s="1"/>
  <c r="K2" i="1"/>
  <c r="M2" i="1" s="1"/>
  <c r="K21" i="1"/>
  <c r="M21" i="1" s="1"/>
  <c r="K14" i="1"/>
  <c r="M14" i="1" s="1"/>
  <c r="L39" i="1"/>
  <c r="L57" i="1"/>
  <c r="L75" i="1"/>
  <c r="K99" i="1"/>
  <c r="K3" i="1"/>
  <c r="L28" i="1"/>
  <c r="L3" i="1"/>
  <c r="K50" i="1"/>
  <c r="M50" i="1" s="1"/>
  <c r="L93" i="1"/>
  <c r="K22" i="1"/>
  <c r="L29" i="1"/>
  <c r="M29" i="1" s="1"/>
  <c r="K40" i="1"/>
  <c r="L47" i="1"/>
  <c r="M47" i="1" s="1"/>
  <c r="K58" i="1"/>
  <c r="M58" i="1" s="1"/>
  <c r="L65" i="1"/>
  <c r="M65" i="1" s="1"/>
  <c r="K76" i="1"/>
  <c r="L83" i="1"/>
  <c r="M83" i="1" s="1"/>
  <c r="K94" i="1"/>
  <c r="M94" i="1" s="1"/>
  <c r="L101" i="1"/>
  <c r="M101" i="1" s="1"/>
  <c r="L4" i="1"/>
  <c r="M4" i="1" s="1"/>
  <c r="K15" i="1"/>
  <c r="M15" i="1" s="1"/>
  <c r="L22" i="1"/>
  <c r="K33" i="1"/>
  <c r="M33" i="1" s="1"/>
  <c r="L40" i="1"/>
  <c r="K51" i="1"/>
  <c r="M51" i="1" s="1"/>
  <c r="L58" i="1"/>
  <c r="K69" i="1"/>
  <c r="M69" i="1" s="1"/>
  <c r="L76" i="1"/>
  <c r="M39" i="1" l="1"/>
  <c r="M63" i="1"/>
  <c r="M40" i="1"/>
  <c r="M22" i="1"/>
  <c r="M76" i="1"/>
  <c r="M3" i="1"/>
  <c r="M99" i="1"/>
  <c r="M93" i="1"/>
  <c r="M27" i="1"/>
</calcChain>
</file>

<file path=xl/sharedStrings.xml><?xml version="1.0" encoding="utf-8"?>
<sst xmlns="http://schemas.openxmlformats.org/spreadsheetml/2006/main" count="613" uniqueCount="181">
  <si>
    <t>po_number</t>
  </si>
  <si>
    <t>vendor_code</t>
  </si>
  <si>
    <t>vendor_name</t>
  </si>
  <si>
    <t>item_code</t>
  </si>
  <si>
    <t>item_description</t>
  </si>
  <si>
    <t>payment_term</t>
  </si>
  <si>
    <t>order_value_in_inr</t>
  </si>
  <si>
    <t>approved_date</t>
  </si>
  <si>
    <t>Scenario A key</t>
  </si>
  <si>
    <t>Scenario B key</t>
  </si>
  <si>
    <t>Scenario A exception</t>
  </si>
  <si>
    <t>Scenario B exception</t>
  </si>
  <si>
    <t>Exception type</t>
  </si>
  <si>
    <t>PO00000</t>
  </si>
  <si>
    <t>V001</t>
  </si>
  <si>
    <t>Vendor 1</t>
  </si>
  <si>
    <t>MAT100</t>
  </si>
  <si>
    <t>Item MAT100</t>
  </si>
  <si>
    <t>PT30</t>
  </si>
  <si>
    <t>PO00001</t>
  </si>
  <si>
    <t>V002</t>
  </si>
  <si>
    <t>Vendor 2</t>
  </si>
  <si>
    <t>MAT101</t>
  </si>
  <si>
    <t>Item MAT101</t>
  </si>
  <si>
    <t>PT60</t>
  </si>
  <si>
    <t>PO00002</t>
  </si>
  <si>
    <t>V003</t>
  </si>
  <si>
    <t>Vendor 3</t>
  </si>
  <si>
    <t>MAT102</t>
  </si>
  <si>
    <t>Item MAT102</t>
  </si>
  <si>
    <t>PT45</t>
  </si>
  <si>
    <t>PO00003</t>
  </si>
  <si>
    <t>V004</t>
  </si>
  <si>
    <t>Vendor 4</t>
  </si>
  <si>
    <t>MAT103</t>
  </si>
  <si>
    <t>Item MAT103</t>
  </si>
  <si>
    <t>PO00004</t>
  </si>
  <si>
    <t>V005</t>
  </si>
  <si>
    <t>Vendor 5</t>
  </si>
  <si>
    <t>MAT104</t>
  </si>
  <si>
    <t>Item MAT104</t>
  </si>
  <si>
    <t>PT90</t>
  </si>
  <si>
    <t>PO00005</t>
  </si>
  <si>
    <t>V006</t>
  </si>
  <si>
    <t>Vendor 6</t>
  </si>
  <si>
    <t>MAT105</t>
  </si>
  <si>
    <t>Item MAT105</t>
  </si>
  <si>
    <t>PO00006</t>
  </si>
  <si>
    <t>V007</t>
  </si>
  <si>
    <t>Vendor 7</t>
  </si>
  <si>
    <t>MAT106</t>
  </si>
  <si>
    <t>Item MAT106</t>
  </si>
  <si>
    <t>PO00007</t>
  </si>
  <si>
    <t>V008</t>
  </si>
  <si>
    <t>Vendor 8</t>
  </si>
  <si>
    <t>MAT107</t>
  </si>
  <si>
    <t>Item MAT107</t>
  </si>
  <si>
    <t>PO00008</t>
  </si>
  <si>
    <t>V009</t>
  </si>
  <si>
    <t>Vendor 9</t>
  </si>
  <si>
    <t>MAT108</t>
  </si>
  <si>
    <t>Item MAT108</t>
  </si>
  <si>
    <t>PO00009</t>
  </si>
  <si>
    <t>V010</t>
  </si>
  <si>
    <t>Vendor 10</t>
  </si>
  <si>
    <t>MAT109</t>
  </si>
  <si>
    <t>Item MAT109</t>
  </si>
  <si>
    <t>PO00010</t>
  </si>
  <si>
    <t>V011</t>
  </si>
  <si>
    <t>Vendor 11</t>
  </si>
  <si>
    <t>MAT110</t>
  </si>
  <si>
    <t>Item MAT110</t>
  </si>
  <si>
    <t>PO00011</t>
  </si>
  <si>
    <t>V012</t>
  </si>
  <si>
    <t>Vendor 12</t>
  </si>
  <si>
    <t>MAT111</t>
  </si>
  <si>
    <t>Item MAT111</t>
  </si>
  <si>
    <t>PO00012</t>
  </si>
  <si>
    <t>MAT112</t>
  </si>
  <si>
    <t>Item MAT112</t>
  </si>
  <si>
    <t>PO00013</t>
  </si>
  <si>
    <t>MAT113</t>
  </si>
  <si>
    <t>Item MAT113</t>
  </si>
  <si>
    <t>PO00014</t>
  </si>
  <si>
    <t>MAT114</t>
  </si>
  <si>
    <t>Item MAT114</t>
  </si>
  <si>
    <t>PO00015</t>
  </si>
  <si>
    <t>MAT115</t>
  </si>
  <si>
    <t>Item MAT115</t>
  </si>
  <si>
    <t>PO00016</t>
  </si>
  <si>
    <t>MAT116</t>
  </si>
  <si>
    <t>Item MAT116</t>
  </si>
  <si>
    <t>PO00017</t>
  </si>
  <si>
    <t>MAT117</t>
  </si>
  <si>
    <t>Item MAT117</t>
  </si>
  <si>
    <t>PO00018</t>
  </si>
  <si>
    <t>MAT118</t>
  </si>
  <si>
    <t>Item MAT118</t>
  </si>
  <si>
    <t>PO00019</t>
  </si>
  <si>
    <t>MAT119</t>
  </si>
  <si>
    <t>Item MAT119</t>
  </si>
  <si>
    <t>PO00020</t>
  </si>
  <si>
    <t>PO00021</t>
  </si>
  <si>
    <t>PO00022</t>
  </si>
  <si>
    <t>PO00023</t>
  </si>
  <si>
    <t>PO00024</t>
  </si>
  <si>
    <t>PO00025</t>
  </si>
  <si>
    <t>PO00026</t>
  </si>
  <si>
    <t>PO00027</t>
  </si>
  <si>
    <t>PO00028</t>
  </si>
  <si>
    <t>PO00029</t>
  </si>
  <si>
    <t>PO00030</t>
  </si>
  <si>
    <t>PO00031</t>
  </si>
  <si>
    <t>PO00032</t>
  </si>
  <si>
    <t>PO00033</t>
  </si>
  <si>
    <t>PO00034</t>
  </si>
  <si>
    <t>PO00035</t>
  </si>
  <si>
    <t>PO00036</t>
  </si>
  <si>
    <t>PO00037</t>
  </si>
  <si>
    <t>PO00038</t>
  </si>
  <si>
    <t>PO00039</t>
  </si>
  <si>
    <t>PO00040</t>
  </si>
  <si>
    <t>PO00041</t>
  </si>
  <si>
    <t>PO00042</t>
  </si>
  <si>
    <t>PO00043</t>
  </si>
  <si>
    <t>PO00044</t>
  </si>
  <si>
    <t>PO00045</t>
  </si>
  <si>
    <t>PO00046</t>
  </si>
  <si>
    <t>PO00047</t>
  </si>
  <si>
    <t>PO00048</t>
  </si>
  <si>
    <t>PO00049</t>
  </si>
  <si>
    <t>PO00050</t>
  </si>
  <si>
    <t>PO00051</t>
  </si>
  <si>
    <t>PO00052</t>
  </si>
  <si>
    <t>PO00053</t>
  </si>
  <si>
    <t>PO00054</t>
  </si>
  <si>
    <t>PO00055</t>
  </si>
  <si>
    <t>PO00056</t>
  </si>
  <si>
    <t>PO00057</t>
  </si>
  <si>
    <t>PO00058</t>
  </si>
  <si>
    <t>PO00059</t>
  </si>
  <si>
    <t>PO00060</t>
  </si>
  <si>
    <t>PO00061</t>
  </si>
  <si>
    <t>PO00062</t>
  </si>
  <si>
    <t>PO00063</t>
  </si>
  <si>
    <t>PO00064</t>
  </si>
  <si>
    <t>PO00065</t>
  </si>
  <si>
    <t>PO00066</t>
  </si>
  <si>
    <t>PO00067</t>
  </si>
  <si>
    <t>PO00068</t>
  </si>
  <si>
    <t>PO00069</t>
  </si>
  <si>
    <t>PO00070</t>
  </si>
  <si>
    <t>PO00071</t>
  </si>
  <si>
    <t>PO00072</t>
  </si>
  <si>
    <t>PO00073</t>
  </si>
  <si>
    <t>PO00074</t>
  </si>
  <si>
    <t>PO00075</t>
  </si>
  <si>
    <t>PO00076</t>
  </si>
  <si>
    <t>PO00077</t>
  </si>
  <si>
    <t>PO00078</t>
  </si>
  <si>
    <t>PO00079</t>
  </si>
  <si>
    <t>PO00080</t>
  </si>
  <si>
    <t>PO00081</t>
  </si>
  <si>
    <t>PO00082</t>
  </si>
  <si>
    <t>PO00083</t>
  </si>
  <si>
    <t>PO00084</t>
  </si>
  <si>
    <t>PO00085</t>
  </si>
  <si>
    <t>PO00086</t>
  </si>
  <si>
    <t>PO00087</t>
  </si>
  <si>
    <t>PO00088</t>
  </si>
  <si>
    <t>PO00089</t>
  </si>
  <si>
    <t>PO00090</t>
  </si>
  <si>
    <t>PO00091</t>
  </si>
  <si>
    <t>PO00092</t>
  </si>
  <si>
    <t>PO00093</t>
  </si>
  <si>
    <t>PO00094</t>
  </si>
  <si>
    <t>PO00095</t>
  </si>
  <si>
    <t>PO00096</t>
  </si>
  <si>
    <t>PO00097</t>
  </si>
  <si>
    <t>PO00098</t>
  </si>
  <si>
    <t>PO00099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</si>
</sst>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D5724-8631-4525-8F81-1357210EE479}">
  <dimension ref="A1:M101"/>
  <sheetViews>
    <sheetView tabSelected="1" workbookViewId="0">
      <selection activeCell="J7" sqref="J7"/>
    </sheetView>
  </sheetViews>
  <sheetFormatPr defaultRowHeight="14.5" x14ac:dyDescent="0.35"/>
  <cols>
    <col min="1" max="1" width="9.81640625" bestFit="1" customWidth="1"/>
    <col min="2" max="2" width="11.08984375" bestFit="1" customWidth="1"/>
    <col min="3" max="3" width="11.6328125" bestFit="1" customWidth="1"/>
    <col min="4" max="4" width="9.26953125" bestFit="1" customWidth="1"/>
    <col min="5" max="5" width="14.453125" bestFit="1" customWidth="1"/>
    <col min="6" max="6" width="12.453125" bestFit="1" customWidth="1"/>
    <col min="7" max="7" width="15.453125" bestFit="1" customWidth="1"/>
    <col min="8" max="8" width="12.7265625" bestFit="1" customWidth="1"/>
    <col min="9" max="9" width="14" bestFit="1" customWidth="1"/>
    <col min="10" max="10" width="16.36328125" bestFit="1" customWidth="1"/>
    <col min="11" max="12" width="17.81640625" bestFit="1" customWidth="1"/>
    <col min="13" max="13" width="12.542968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>
        <v>10000</v>
      </c>
      <c r="H2" s="2">
        <v>46143</v>
      </c>
      <c r="I2" s="1" t="str">
        <f>B2&amp;"|"&amp;C2</f>
        <v>V001|Vendor 1</v>
      </c>
      <c r="J2" s="1" t="str">
        <f>C2&amp;"|"&amp;D2</f>
        <v>Vendor 1|MAT100</v>
      </c>
      <c r="K2" s="1" t="str">
        <f>IF(
COUNTIFS($I:$I,I2,$F:$F,"&lt;&gt;"&amp;F2)&gt;0,
"Exception",
"No Exception"
)</f>
        <v>No Exception</v>
      </c>
      <c r="L2" s="1" t="str">
        <f>IF(
COUNTIFS($J:$J,J2,$F:$F,"&lt;&gt;"&amp;F2)&gt;0,
"Exception",
"No Exception"
)</f>
        <v>No Exception</v>
      </c>
      <c r="M2" s="1" t="str">
        <f>IF(
AND(K2="Exception",L2="Exception"),
"Scenario A + B",
IF(
K2="Exception",
"Scenario A",
IF(
L2="Exception",
"Scenario B",
"No Exception"
)))</f>
        <v>No Exception</v>
      </c>
    </row>
    <row r="3" spans="1:13" x14ac:dyDescent="0.35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>
        <v>11379</v>
      </c>
      <c r="H3" s="2">
        <v>46144</v>
      </c>
      <c r="I3" s="1" t="str">
        <f t="shared" ref="I3:J66" si="0">B3&amp;"|"&amp;C3</f>
        <v>V002|Vendor 2</v>
      </c>
      <c r="J3" s="1" t="str">
        <f t="shared" si="0"/>
        <v>Vendor 2|MAT101</v>
      </c>
      <c r="K3" s="1" t="str">
        <f t="shared" ref="K3:K66" si="1">IF(
COUNTIFS($I:$I,I3,$F:$F,"&lt;&gt;"&amp;F3)&gt;0,
"Exception",
"No Exception"
)</f>
        <v>No Exception</v>
      </c>
      <c r="L3" s="1" t="str">
        <f t="shared" ref="L3:L66" si="2">IF(
COUNTIFS($J:$J,J3,$F:$F,"&lt;&gt;"&amp;F3)&gt;0,
"Exception",
"No Exception"
)</f>
        <v>No Exception</v>
      </c>
      <c r="M3" s="1" t="str">
        <f t="shared" ref="M3:M66" si="3">IF(
AND(K3="Exception",L3="Exception"),
"Scenario A + B",
IF(
K3="Exception",
"Scenario A",
IF(
L3="Exception",
"Scenario B",
"No Exception"
)))</f>
        <v>No Exception</v>
      </c>
    </row>
    <row r="4" spans="1:13" x14ac:dyDescent="0.35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 s="1">
        <v>12758</v>
      </c>
      <c r="H4" s="2">
        <v>46145</v>
      </c>
      <c r="I4" s="1" t="str">
        <f t="shared" si="0"/>
        <v>V003|Vendor 3</v>
      </c>
      <c r="J4" s="1" t="str">
        <f t="shared" si="0"/>
        <v>Vendor 3|MAT102</v>
      </c>
      <c r="K4" s="1" t="str">
        <f t="shared" si="1"/>
        <v>No Exception</v>
      </c>
      <c r="L4" s="1" t="str">
        <f t="shared" si="2"/>
        <v>No Exception</v>
      </c>
      <c r="M4" s="1" t="str">
        <f t="shared" si="3"/>
        <v>No Exception</v>
      </c>
    </row>
    <row r="5" spans="1:13" x14ac:dyDescent="0.35">
      <c r="A5" s="1" t="s">
        <v>31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18</v>
      </c>
      <c r="G5" s="1">
        <v>14137</v>
      </c>
      <c r="H5" s="2">
        <v>46146</v>
      </c>
      <c r="I5" s="1" t="str">
        <f t="shared" si="0"/>
        <v>V004|Vendor 4</v>
      </c>
      <c r="J5" s="1" t="str">
        <f t="shared" si="0"/>
        <v>Vendor 4|MAT103</v>
      </c>
      <c r="K5" s="1" t="str">
        <f t="shared" si="1"/>
        <v>Exception</v>
      </c>
      <c r="L5" s="1" t="str">
        <f t="shared" si="2"/>
        <v>Exception</v>
      </c>
      <c r="M5" s="1" t="str">
        <f t="shared" si="3"/>
        <v>Scenario A + B</v>
      </c>
    </row>
    <row r="6" spans="1:13" x14ac:dyDescent="0.35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>
        <v>15516</v>
      </c>
      <c r="H6" s="2">
        <v>46147</v>
      </c>
      <c r="I6" s="1" t="str">
        <f t="shared" si="0"/>
        <v>V005|Vendor 5</v>
      </c>
      <c r="J6" s="1" t="str">
        <f t="shared" si="0"/>
        <v>Vendor 5|MAT104</v>
      </c>
      <c r="K6" s="1" t="str">
        <f t="shared" si="1"/>
        <v>No Exception</v>
      </c>
      <c r="L6" s="1" t="str">
        <f t="shared" si="2"/>
        <v>No Exception</v>
      </c>
      <c r="M6" s="1" t="str">
        <f t="shared" si="3"/>
        <v>No Exception</v>
      </c>
    </row>
    <row r="7" spans="1:13" x14ac:dyDescent="0.35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24</v>
      </c>
      <c r="G7" s="1">
        <v>16895</v>
      </c>
      <c r="H7" s="2">
        <v>46148</v>
      </c>
      <c r="I7" s="1" t="str">
        <f t="shared" si="0"/>
        <v>V006|Vendor 6</v>
      </c>
      <c r="J7" s="1" t="str">
        <f t="shared" si="0"/>
        <v>Vendor 6|MAT105</v>
      </c>
      <c r="K7" s="1" t="str">
        <f t="shared" si="1"/>
        <v>No Exception</v>
      </c>
      <c r="L7" s="1" t="str">
        <f t="shared" si="2"/>
        <v>No Exception</v>
      </c>
      <c r="M7" s="1" t="str">
        <f t="shared" si="3"/>
        <v>No Exception</v>
      </c>
    </row>
    <row r="8" spans="1:13" x14ac:dyDescent="0.35">
      <c r="A8" s="1" t="s">
        <v>47</v>
      </c>
      <c r="B8" s="1" t="s">
        <v>48</v>
      </c>
      <c r="C8" s="1" t="s">
        <v>49</v>
      </c>
      <c r="D8" s="1" t="s">
        <v>50</v>
      </c>
      <c r="E8" s="1" t="s">
        <v>51</v>
      </c>
      <c r="F8" s="1" t="s">
        <v>18</v>
      </c>
      <c r="G8" s="1">
        <v>18274</v>
      </c>
      <c r="H8" s="2">
        <v>46149</v>
      </c>
      <c r="I8" s="1" t="str">
        <f t="shared" si="0"/>
        <v>V007|Vendor 7</v>
      </c>
      <c r="J8" s="1" t="str">
        <f t="shared" si="0"/>
        <v>Vendor 7|MAT106</v>
      </c>
      <c r="K8" s="1" t="str">
        <f t="shared" si="1"/>
        <v>Exception</v>
      </c>
      <c r="L8" s="1" t="str">
        <f t="shared" si="2"/>
        <v>Exception</v>
      </c>
      <c r="M8" s="1" t="str">
        <f t="shared" si="3"/>
        <v>Scenario A + B</v>
      </c>
    </row>
    <row r="9" spans="1:13" x14ac:dyDescent="0.35">
      <c r="A9" s="1" t="s">
        <v>52</v>
      </c>
      <c r="B9" s="1" t="s">
        <v>53</v>
      </c>
      <c r="C9" s="1" t="s">
        <v>54</v>
      </c>
      <c r="D9" s="1" t="s">
        <v>55</v>
      </c>
      <c r="E9" s="1" t="s">
        <v>56</v>
      </c>
      <c r="F9" s="1" t="s">
        <v>41</v>
      </c>
      <c r="G9" s="1">
        <v>19653</v>
      </c>
      <c r="H9" s="2">
        <v>46150</v>
      </c>
      <c r="I9" s="1" t="str">
        <f t="shared" si="0"/>
        <v>V008|Vendor 8</v>
      </c>
      <c r="J9" s="1" t="str">
        <f t="shared" si="0"/>
        <v>Vendor 8|MAT107</v>
      </c>
      <c r="K9" s="1" t="str">
        <f t="shared" si="1"/>
        <v>No Exception</v>
      </c>
      <c r="L9" s="1" t="str">
        <f t="shared" si="2"/>
        <v>No Exception</v>
      </c>
      <c r="M9" s="1" t="str">
        <f t="shared" si="3"/>
        <v>No Exception</v>
      </c>
    </row>
    <row r="10" spans="1:13" x14ac:dyDescent="0.35">
      <c r="A10" s="1" t="s">
        <v>57</v>
      </c>
      <c r="B10" s="1" t="s">
        <v>58</v>
      </c>
      <c r="C10" s="1" t="s">
        <v>59</v>
      </c>
      <c r="D10" s="1" t="s">
        <v>60</v>
      </c>
      <c r="E10" s="1" t="s">
        <v>61</v>
      </c>
      <c r="F10" s="1" t="s">
        <v>30</v>
      </c>
      <c r="G10" s="1">
        <v>21032</v>
      </c>
      <c r="H10" s="2">
        <v>46151</v>
      </c>
      <c r="I10" s="1" t="str">
        <f t="shared" si="0"/>
        <v>V009|Vendor 9</v>
      </c>
      <c r="J10" s="1" t="str">
        <f t="shared" si="0"/>
        <v>Vendor 9|MAT108</v>
      </c>
      <c r="K10" s="1" t="str">
        <f t="shared" si="1"/>
        <v>No Exception</v>
      </c>
      <c r="L10" s="1" t="str">
        <f t="shared" si="2"/>
        <v>No Exception</v>
      </c>
      <c r="M10" s="1" t="str">
        <f t="shared" si="3"/>
        <v>No Exception</v>
      </c>
    </row>
    <row r="11" spans="1:13" x14ac:dyDescent="0.35">
      <c r="A11" s="1" t="s">
        <v>62</v>
      </c>
      <c r="B11" s="1" t="s">
        <v>63</v>
      </c>
      <c r="C11" s="1" t="s">
        <v>64</v>
      </c>
      <c r="D11" s="1" t="s">
        <v>65</v>
      </c>
      <c r="E11" s="1" t="s">
        <v>66</v>
      </c>
      <c r="F11" s="1" t="s">
        <v>18</v>
      </c>
      <c r="G11" s="1">
        <v>22411</v>
      </c>
      <c r="H11" s="2">
        <v>46152</v>
      </c>
      <c r="I11" s="1" t="str">
        <f t="shared" si="0"/>
        <v>V010|Vendor 10</v>
      </c>
      <c r="J11" s="1" t="str">
        <f t="shared" si="0"/>
        <v>Vendor 10|MAT109</v>
      </c>
      <c r="K11" s="1" t="str">
        <f t="shared" si="1"/>
        <v>Exception</v>
      </c>
      <c r="L11" s="1" t="str">
        <f t="shared" si="2"/>
        <v>Exception</v>
      </c>
      <c r="M11" s="1" t="str">
        <f t="shared" si="3"/>
        <v>Scenario A + B</v>
      </c>
    </row>
    <row r="12" spans="1:13" x14ac:dyDescent="0.35">
      <c r="A12" s="1" t="s">
        <v>67</v>
      </c>
      <c r="B12" s="1" t="s">
        <v>68</v>
      </c>
      <c r="C12" s="1" t="s">
        <v>69</v>
      </c>
      <c r="D12" s="1" t="s">
        <v>70</v>
      </c>
      <c r="E12" s="1" t="s">
        <v>71</v>
      </c>
      <c r="F12" s="1" t="s">
        <v>30</v>
      </c>
      <c r="G12" s="1">
        <v>23790</v>
      </c>
      <c r="H12" s="2">
        <v>46153</v>
      </c>
      <c r="I12" s="1" t="str">
        <f t="shared" si="0"/>
        <v>V011|Vendor 11</v>
      </c>
      <c r="J12" s="1" t="str">
        <f t="shared" si="0"/>
        <v>Vendor 11|MAT110</v>
      </c>
      <c r="K12" s="1" t="str">
        <f t="shared" si="1"/>
        <v>Exception</v>
      </c>
      <c r="L12" s="1" t="str">
        <f t="shared" si="2"/>
        <v>Exception</v>
      </c>
      <c r="M12" s="1" t="str">
        <f t="shared" si="3"/>
        <v>Scenario A + B</v>
      </c>
    </row>
    <row r="13" spans="1:13" x14ac:dyDescent="0.35">
      <c r="A13" s="1" t="s">
        <v>72</v>
      </c>
      <c r="B13" s="1" t="s">
        <v>73</v>
      </c>
      <c r="C13" s="1" t="s">
        <v>74</v>
      </c>
      <c r="D13" s="1" t="s">
        <v>75</v>
      </c>
      <c r="E13" s="1" t="s">
        <v>76</v>
      </c>
      <c r="F13" s="1" t="s">
        <v>18</v>
      </c>
      <c r="G13" s="1">
        <v>25169</v>
      </c>
      <c r="H13" s="2">
        <v>46154</v>
      </c>
      <c r="I13" s="1" t="str">
        <f t="shared" si="0"/>
        <v>V012|Vendor 12</v>
      </c>
      <c r="J13" s="1" t="str">
        <f t="shared" si="0"/>
        <v>Vendor 12|MAT111</v>
      </c>
      <c r="K13" s="1" t="str">
        <f t="shared" si="1"/>
        <v>No Exception</v>
      </c>
      <c r="L13" s="1" t="str">
        <f t="shared" si="2"/>
        <v>No Exception</v>
      </c>
      <c r="M13" s="1" t="str">
        <f t="shared" si="3"/>
        <v>No Exception</v>
      </c>
    </row>
    <row r="14" spans="1:13" x14ac:dyDescent="0.35">
      <c r="A14" s="1" t="s">
        <v>77</v>
      </c>
      <c r="B14" s="1" t="s">
        <v>14</v>
      </c>
      <c r="C14" s="1" t="s">
        <v>15</v>
      </c>
      <c r="D14" s="1" t="s">
        <v>78</v>
      </c>
      <c r="E14" s="1" t="s">
        <v>79</v>
      </c>
      <c r="F14" s="1" t="s">
        <v>18</v>
      </c>
      <c r="G14" s="1">
        <v>26548</v>
      </c>
      <c r="H14" s="2">
        <v>46155</v>
      </c>
      <c r="I14" s="1" t="str">
        <f t="shared" si="0"/>
        <v>V001|Vendor 1</v>
      </c>
      <c r="J14" s="1" t="str">
        <f t="shared" si="0"/>
        <v>Vendor 1|MAT112</v>
      </c>
      <c r="K14" s="1" t="str">
        <f t="shared" si="1"/>
        <v>No Exception</v>
      </c>
      <c r="L14" s="1" t="str">
        <f t="shared" si="2"/>
        <v>No Exception</v>
      </c>
      <c r="M14" s="1" t="str">
        <f t="shared" si="3"/>
        <v>No Exception</v>
      </c>
    </row>
    <row r="15" spans="1:13" x14ac:dyDescent="0.35">
      <c r="A15" s="1" t="s">
        <v>80</v>
      </c>
      <c r="B15" s="1" t="s">
        <v>20</v>
      </c>
      <c r="C15" s="1" t="s">
        <v>21</v>
      </c>
      <c r="D15" s="1" t="s">
        <v>81</v>
      </c>
      <c r="E15" s="1" t="s">
        <v>82</v>
      </c>
      <c r="F15" s="1" t="s">
        <v>24</v>
      </c>
      <c r="G15" s="1">
        <v>27927</v>
      </c>
      <c r="H15" s="2">
        <v>46156</v>
      </c>
      <c r="I15" s="1" t="str">
        <f t="shared" si="0"/>
        <v>V002|Vendor 2</v>
      </c>
      <c r="J15" s="1" t="str">
        <f t="shared" si="0"/>
        <v>Vendor 2|MAT113</v>
      </c>
      <c r="K15" s="1" t="str">
        <f t="shared" si="1"/>
        <v>No Exception</v>
      </c>
      <c r="L15" s="1" t="str">
        <f t="shared" si="2"/>
        <v>No Exception</v>
      </c>
      <c r="M15" s="1" t="str">
        <f t="shared" si="3"/>
        <v>No Exception</v>
      </c>
    </row>
    <row r="16" spans="1:13" x14ac:dyDescent="0.35">
      <c r="A16" s="1" t="s">
        <v>83</v>
      </c>
      <c r="B16" s="1" t="s">
        <v>26</v>
      </c>
      <c r="C16" s="1" t="s">
        <v>27</v>
      </c>
      <c r="D16" s="1" t="s">
        <v>84</v>
      </c>
      <c r="E16" s="1" t="s">
        <v>85</v>
      </c>
      <c r="F16" s="1" t="s">
        <v>30</v>
      </c>
      <c r="G16" s="1">
        <v>29306</v>
      </c>
      <c r="H16" s="2">
        <v>46157</v>
      </c>
      <c r="I16" s="1" t="str">
        <f t="shared" si="0"/>
        <v>V003|Vendor 3</v>
      </c>
      <c r="J16" s="1" t="str">
        <f t="shared" si="0"/>
        <v>Vendor 3|MAT114</v>
      </c>
      <c r="K16" s="1" t="str">
        <f t="shared" si="1"/>
        <v>No Exception</v>
      </c>
      <c r="L16" s="1" t="str">
        <f t="shared" si="2"/>
        <v>No Exception</v>
      </c>
      <c r="M16" s="1" t="str">
        <f t="shared" si="3"/>
        <v>No Exception</v>
      </c>
    </row>
    <row r="17" spans="1:13" x14ac:dyDescent="0.35">
      <c r="A17" s="1" t="s">
        <v>86</v>
      </c>
      <c r="B17" s="1" t="s">
        <v>32</v>
      </c>
      <c r="C17" s="1" t="s">
        <v>33</v>
      </c>
      <c r="D17" s="1" t="s">
        <v>87</v>
      </c>
      <c r="E17" s="1" t="s">
        <v>88</v>
      </c>
      <c r="F17" s="1" t="s">
        <v>30</v>
      </c>
      <c r="G17" s="1">
        <v>30685</v>
      </c>
      <c r="H17" s="2">
        <v>46158</v>
      </c>
      <c r="I17" s="1" t="str">
        <f t="shared" si="0"/>
        <v>V004|Vendor 4</v>
      </c>
      <c r="J17" s="1" t="str">
        <f t="shared" si="0"/>
        <v>Vendor 4|MAT115</v>
      </c>
      <c r="K17" s="1" t="str">
        <f t="shared" si="1"/>
        <v>Exception</v>
      </c>
      <c r="L17" s="1" t="str">
        <f t="shared" si="2"/>
        <v>Exception</v>
      </c>
      <c r="M17" s="1" t="str">
        <f t="shared" si="3"/>
        <v>Scenario A + B</v>
      </c>
    </row>
    <row r="18" spans="1:13" x14ac:dyDescent="0.35">
      <c r="A18" s="1" t="s">
        <v>89</v>
      </c>
      <c r="B18" s="1" t="s">
        <v>37</v>
      </c>
      <c r="C18" s="1" t="s">
        <v>38</v>
      </c>
      <c r="D18" s="1" t="s">
        <v>90</v>
      </c>
      <c r="E18" s="1" t="s">
        <v>91</v>
      </c>
      <c r="F18" s="1" t="s">
        <v>41</v>
      </c>
      <c r="G18" s="1">
        <v>32064</v>
      </c>
      <c r="H18" s="2">
        <v>46159</v>
      </c>
      <c r="I18" s="1" t="str">
        <f t="shared" si="0"/>
        <v>V005|Vendor 5</v>
      </c>
      <c r="J18" s="1" t="str">
        <f t="shared" si="0"/>
        <v>Vendor 5|MAT116</v>
      </c>
      <c r="K18" s="1" t="str">
        <f t="shared" si="1"/>
        <v>No Exception</v>
      </c>
      <c r="L18" s="1" t="str">
        <f t="shared" si="2"/>
        <v>No Exception</v>
      </c>
      <c r="M18" s="1" t="str">
        <f t="shared" si="3"/>
        <v>No Exception</v>
      </c>
    </row>
    <row r="19" spans="1:13" x14ac:dyDescent="0.35">
      <c r="A19" s="1" t="s">
        <v>92</v>
      </c>
      <c r="B19" s="1" t="s">
        <v>43</v>
      </c>
      <c r="C19" s="1" t="s">
        <v>44</v>
      </c>
      <c r="D19" s="1" t="s">
        <v>93</v>
      </c>
      <c r="E19" s="1" t="s">
        <v>94</v>
      </c>
      <c r="F19" s="1" t="s">
        <v>24</v>
      </c>
      <c r="G19" s="1">
        <v>33443</v>
      </c>
      <c r="H19" s="2">
        <v>46160</v>
      </c>
      <c r="I19" s="1" t="str">
        <f t="shared" si="0"/>
        <v>V006|Vendor 6</v>
      </c>
      <c r="J19" s="1" t="str">
        <f t="shared" si="0"/>
        <v>Vendor 6|MAT117</v>
      </c>
      <c r="K19" s="1" t="str">
        <f t="shared" si="1"/>
        <v>No Exception</v>
      </c>
      <c r="L19" s="1" t="str">
        <f t="shared" si="2"/>
        <v>No Exception</v>
      </c>
      <c r="M19" s="1" t="str">
        <f t="shared" si="3"/>
        <v>No Exception</v>
      </c>
    </row>
    <row r="20" spans="1:13" x14ac:dyDescent="0.35">
      <c r="A20" s="1" t="s">
        <v>95</v>
      </c>
      <c r="B20" s="1" t="s">
        <v>48</v>
      </c>
      <c r="C20" s="1" t="s">
        <v>49</v>
      </c>
      <c r="D20" s="1" t="s">
        <v>96</v>
      </c>
      <c r="E20" s="1" t="s">
        <v>97</v>
      </c>
      <c r="F20" s="1" t="s">
        <v>24</v>
      </c>
      <c r="G20" s="1">
        <v>34822</v>
      </c>
      <c r="H20" s="2">
        <v>46161</v>
      </c>
      <c r="I20" s="1" t="str">
        <f t="shared" si="0"/>
        <v>V007|Vendor 7</v>
      </c>
      <c r="J20" s="1" t="str">
        <f t="shared" si="0"/>
        <v>Vendor 7|MAT118</v>
      </c>
      <c r="K20" s="1" t="str">
        <f t="shared" si="1"/>
        <v>Exception</v>
      </c>
      <c r="L20" s="1" t="str">
        <f t="shared" si="2"/>
        <v>Exception</v>
      </c>
      <c r="M20" s="1" t="str">
        <f t="shared" si="3"/>
        <v>Scenario A + B</v>
      </c>
    </row>
    <row r="21" spans="1:13" x14ac:dyDescent="0.35">
      <c r="A21" s="1" t="s">
        <v>98</v>
      </c>
      <c r="B21" s="1" t="s">
        <v>53</v>
      </c>
      <c r="C21" s="1" t="s">
        <v>54</v>
      </c>
      <c r="D21" s="1" t="s">
        <v>99</v>
      </c>
      <c r="E21" s="1" t="s">
        <v>100</v>
      </c>
      <c r="F21" s="1" t="s">
        <v>41</v>
      </c>
      <c r="G21" s="1">
        <v>36201</v>
      </c>
      <c r="H21" s="2">
        <v>46162</v>
      </c>
      <c r="I21" s="1" t="str">
        <f t="shared" si="0"/>
        <v>V008|Vendor 8</v>
      </c>
      <c r="J21" s="1" t="str">
        <f t="shared" si="0"/>
        <v>Vendor 8|MAT119</v>
      </c>
      <c r="K21" s="1" t="str">
        <f t="shared" si="1"/>
        <v>No Exception</v>
      </c>
      <c r="L21" s="1" t="str">
        <f t="shared" si="2"/>
        <v>No Exception</v>
      </c>
      <c r="M21" s="1" t="str">
        <f t="shared" si="3"/>
        <v>No Exception</v>
      </c>
    </row>
    <row r="22" spans="1:13" x14ac:dyDescent="0.35">
      <c r="A22" s="1" t="s">
        <v>101</v>
      </c>
      <c r="B22" s="1" t="s">
        <v>58</v>
      </c>
      <c r="C22" s="1" t="s">
        <v>59</v>
      </c>
      <c r="D22" s="1" t="s">
        <v>16</v>
      </c>
      <c r="E22" s="1" t="s">
        <v>17</v>
      </c>
      <c r="F22" s="1" t="s">
        <v>30</v>
      </c>
      <c r="G22" s="1">
        <v>37580</v>
      </c>
      <c r="H22" s="2">
        <v>46163</v>
      </c>
      <c r="I22" s="1" t="str">
        <f t="shared" si="0"/>
        <v>V009|Vendor 9</v>
      </c>
      <c r="J22" s="1" t="str">
        <f t="shared" si="0"/>
        <v>Vendor 9|MAT100</v>
      </c>
      <c r="K22" s="1" t="str">
        <f t="shared" si="1"/>
        <v>No Exception</v>
      </c>
      <c r="L22" s="1" t="str">
        <f t="shared" si="2"/>
        <v>No Exception</v>
      </c>
      <c r="M22" s="1" t="str">
        <f t="shared" si="3"/>
        <v>No Exception</v>
      </c>
    </row>
    <row r="23" spans="1:13" x14ac:dyDescent="0.35">
      <c r="A23" s="1" t="s">
        <v>102</v>
      </c>
      <c r="B23" s="1" t="s">
        <v>63</v>
      </c>
      <c r="C23" s="1" t="s">
        <v>64</v>
      </c>
      <c r="D23" s="1" t="s">
        <v>22</v>
      </c>
      <c r="E23" s="1" t="s">
        <v>23</v>
      </c>
      <c r="F23" s="1" t="s">
        <v>30</v>
      </c>
      <c r="G23" s="1">
        <v>38959</v>
      </c>
      <c r="H23" s="2">
        <v>46164</v>
      </c>
      <c r="I23" s="1" t="str">
        <f t="shared" si="0"/>
        <v>V010|Vendor 10</v>
      </c>
      <c r="J23" s="1" t="str">
        <f t="shared" si="0"/>
        <v>Vendor 10|MAT101</v>
      </c>
      <c r="K23" s="1" t="str">
        <f t="shared" si="1"/>
        <v>Exception</v>
      </c>
      <c r="L23" s="1" t="str">
        <f t="shared" si="2"/>
        <v>Exception</v>
      </c>
      <c r="M23" s="1" t="str">
        <f t="shared" si="3"/>
        <v>Scenario A + B</v>
      </c>
    </row>
    <row r="24" spans="1:13" x14ac:dyDescent="0.35">
      <c r="A24" s="1" t="s">
        <v>103</v>
      </c>
      <c r="B24" s="1" t="s">
        <v>68</v>
      </c>
      <c r="C24" s="1" t="s">
        <v>69</v>
      </c>
      <c r="D24" s="1" t="s">
        <v>28</v>
      </c>
      <c r="E24" s="1" t="s">
        <v>29</v>
      </c>
      <c r="F24" s="1" t="s">
        <v>24</v>
      </c>
      <c r="G24" s="1">
        <v>40338</v>
      </c>
      <c r="H24" s="2">
        <v>46165</v>
      </c>
      <c r="I24" s="1" t="str">
        <f t="shared" si="0"/>
        <v>V011|Vendor 11</v>
      </c>
      <c r="J24" s="1" t="str">
        <f t="shared" si="0"/>
        <v>Vendor 11|MAT102</v>
      </c>
      <c r="K24" s="1" t="str">
        <f t="shared" si="1"/>
        <v>Exception</v>
      </c>
      <c r="L24" s="1" t="str">
        <f t="shared" si="2"/>
        <v>Exception</v>
      </c>
      <c r="M24" s="1" t="str">
        <f t="shared" si="3"/>
        <v>Scenario A + B</v>
      </c>
    </row>
    <row r="25" spans="1:13" x14ac:dyDescent="0.35">
      <c r="A25" s="1" t="s">
        <v>104</v>
      </c>
      <c r="B25" s="1" t="s">
        <v>73</v>
      </c>
      <c r="C25" s="1" t="s">
        <v>74</v>
      </c>
      <c r="D25" s="1" t="s">
        <v>34</v>
      </c>
      <c r="E25" s="1" t="s">
        <v>35</v>
      </c>
      <c r="F25" s="1" t="s">
        <v>18</v>
      </c>
      <c r="G25" s="1">
        <v>41717</v>
      </c>
      <c r="H25" s="2">
        <v>46166</v>
      </c>
      <c r="I25" s="1" t="str">
        <f t="shared" si="0"/>
        <v>V012|Vendor 12</v>
      </c>
      <c r="J25" s="1" t="str">
        <f t="shared" si="0"/>
        <v>Vendor 12|MAT103</v>
      </c>
      <c r="K25" s="1" t="str">
        <f t="shared" si="1"/>
        <v>No Exception</v>
      </c>
      <c r="L25" s="1" t="str">
        <f t="shared" si="2"/>
        <v>No Exception</v>
      </c>
      <c r="M25" s="1" t="str">
        <f t="shared" si="3"/>
        <v>No Exception</v>
      </c>
    </row>
    <row r="26" spans="1:13" x14ac:dyDescent="0.35">
      <c r="A26" s="1" t="s">
        <v>105</v>
      </c>
      <c r="B26" s="1" t="s">
        <v>14</v>
      </c>
      <c r="C26" s="1" t="s">
        <v>15</v>
      </c>
      <c r="D26" s="1" t="s">
        <v>39</v>
      </c>
      <c r="E26" s="1" t="s">
        <v>40</v>
      </c>
      <c r="F26" s="1" t="s">
        <v>18</v>
      </c>
      <c r="G26" s="1">
        <v>43096</v>
      </c>
      <c r="H26" s="2">
        <v>46167</v>
      </c>
      <c r="I26" s="1" t="str">
        <f t="shared" si="0"/>
        <v>V001|Vendor 1</v>
      </c>
      <c r="J26" s="1" t="str">
        <f t="shared" si="0"/>
        <v>Vendor 1|MAT104</v>
      </c>
      <c r="K26" s="1" t="str">
        <f t="shared" si="1"/>
        <v>No Exception</v>
      </c>
      <c r="L26" s="1" t="str">
        <f t="shared" si="2"/>
        <v>No Exception</v>
      </c>
      <c r="M26" s="1" t="str">
        <f t="shared" si="3"/>
        <v>No Exception</v>
      </c>
    </row>
    <row r="27" spans="1:13" x14ac:dyDescent="0.35">
      <c r="A27" s="1" t="s">
        <v>106</v>
      </c>
      <c r="B27" s="1" t="s">
        <v>20</v>
      </c>
      <c r="C27" s="1" t="s">
        <v>21</v>
      </c>
      <c r="D27" s="1" t="s">
        <v>45</v>
      </c>
      <c r="E27" s="1" t="s">
        <v>46</v>
      </c>
      <c r="F27" s="1" t="s">
        <v>24</v>
      </c>
      <c r="G27" s="1">
        <v>44475</v>
      </c>
      <c r="H27" s="2">
        <v>46168</v>
      </c>
      <c r="I27" s="1" t="str">
        <f t="shared" si="0"/>
        <v>V002|Vendor 2</v>
      </c>
      <c r="J27" s="1" t="str">
        <f t="shared" si="0"/>
        <v>Vendor 2|MAT105</v>
      </c>
      <c r="K27" s="1" t="str">
        <f t="shared" si="1"/>
        <v>No Exception</v>
      </c>
      <c r="L27" s="1" t="str">
        <f t="shared" si="2"/>
        <v>No Exception</v>
      </c>
      <c r="M27" s="1" t="str">
        <f t="shared" si="3"/>
        <v>No Exception</v>
      </c>
    </row>
    <row r="28" spans="1:13" x14ac:dyDescent="0.35">
      <c r="A28" s="1" t="s">
        <v>107</v>
      </c>
      <c r="B28" s="1" t="s">
        <v>26</v>
      </c>
      <c r="C28" s="1" t="s">
        <v>27</v>
      </c>
      <c r="D28" s="1" t="s">
        <v>50</v>
      </c>
      <c r="E28" s="1" t="s">
        <v>51</v>
      </c>
      <c r="F28" s="1" t="s">
        <v>30</v>
      </c>
      <c r="G28" s="1">
        <v>45854</v>
      </c>
      <c r="H28" s="2">
        <v>46169</v>
      </c>
      <c r="I28" s="1" t="str">
        <f t="shared" si="0"/>
        <v>V003|Vendor 3</v>
      </c>
      <c r="J28" s="1" t="str">
        <f t="shared" si="0"/>
        <v>Vendor 3|MAT106</v>
      </c>
      <c r="K28" s="1" t="str">
        <f t="shared" si="1"/>
        <v>No Exception</v>
      </c>
      <c r="L28" s="1" t="str">
        <f t="shared" si="2"/>
        <v>No Exception</v>
      </c>
      <c r="M28" s="1" t="str">
        <f t="shared" si="3"/>
        <v>No Exception</v>
      </c>
    </row>
    <row r="29" spans="1:13" x14ac:dyDescent="0.35">
      <c r="A29" s="1" t="s">
        <v>108</v>
      </c>
      <c r="B29" s="1" t="s">
        <v>32</v>
      </c>
      <c r="C29" s="1" t="s">
        <v>33</v>
      </c>
      <c r="D29" s="1" t="s">
        <v>55</v>
      </c>
      <c r="E29" s="1" t="s">
        <v>56</v>
      </c>
      <c r="F29" s="1" t="s">
        <v>41</v>
      </c>
      <c r="G29" s="1">
        <v>47233</v>
      </c>
      <c r="H29" s="2">
        <v>46170</v>
      </c>
      <c r="I29" s="1" t="str">
        <f t="shared" si="0"/>
        <v>V004|Vendor 4</v>
      </c>
      <c r="J29" s="1" t="str">
        <f t="shared" si="0"/>
        <v>Vendor 4|MAT107</v>
      </c>
      <c r="K29" s="1" t="str">
        <f t="shared" si="1"/>
        <v>Exception</v>
      </c>
      <c r="L29" s="1" t="str">
        <f t="shared" si="2"/>
        <v>Exception</v>
      </c>
      <c r="M29" s="1" t="str">
        <f t="shared" si="3"/>
        <v>Scenario A + B</v>
      </c>
    </row>
    <row r="30" spans="1:13" x14ac:dyDescent="0.35">
      <c r="A30" s="1" t="s">
        <v>109</v>
      </c>
      <c r="B30" s="1" t="s">
        <v>37</v>
      </c>
      <c r="C30" s="1" t="s">
        <v>38</v>
      </c>
      <c r="D30" s="1" t="s">
        <v>60</v>
      </c>
      <c r="E30" s="1" t="s">
        <v>61</v>
      </c>
      <c r="F30" s="1" t="s">
        <v>41</v>
      </c>
      <c r="G30" s="1">
        <v>48612</v>
      </c>
      <c r="H30" s="2">
        <v>46143</v>
      </c>
      <c r="I30" s="1" t="str">
        <f t="shared" si="0"/>
        <v>V005|Vendor 5</v>
      </c>
      <c r="J30" s="1" t="str">
        <f t="shared" si="0"/>
        <v>Vendor 5|MAT108</v>
      </c>
      <c r="K30" s="1" t="str">
        <f t="shared" si="1"/>
        <v>No Exception</v>
      </c>
      <c r="L30" s="1" t="str">
        <f t="shared" si="2"/>
        <v>No Exception</v>
      </c>
      <c r="M30" s="1" t="str">
        <f t="shared" si="3"/>
        <v>No Exception</v>
      </c>
    </row>
    <row r="31" spans="1:13" x14ac:dyDescent="0.35">
      <c r="A31" s="1" t="s">
        <v>110</v>
      </c>
      <c r="B31" s="1" t="s">
        <v>43</v>
      </c>
      <c r="C31" s="1" t="s">
        <v>44</v>
      </c>
      <c r="D31" s="1" t="s">
        <v>65</v>
      </c>
      <c r="E31" s="1" t="s">
        <v>66</v>
      </c>
      <c r="F31" s="1" t="s">
        <v>24</v>
      </c>
      <c r="G31" s="1">
        <v>49991</v>
      </c>
      <c r="H31" s="2">
        <v>46144</v>
      </c>
      <c r="I31" s="1" t="str">
        <f t="shared" si="0"/>
        <v>V006|Vendor 6</v>
      </c>
      <c r="J31" s="1" t="str">
        <f t="shared" si="0"/>
        <v>Vendor 6|MAT109</v>
      </c>
      <c r="K31" s="1" t="str">
        <f t="shared" si="1"/>
        <v>No Exception</v>
      </c>
      <c r="L31" s="1" t="str">
        <f t="shared" si="2"/>
        <v>No Exception</v>
      </c>
      <c r="M31" s="1" t="str">
        <f t="shared" si="3"/>
        <v>No Exception</v>
      </c>
    </row>
    <row r="32" spans="1:13" x14ac:dyDescent="0.35">
      <c r="A32" s="1" t="s">
        <v>111</v>
      </c>
      <c r="B32" s="1" t="s">
        <v>48</v>
      </c>
      <c r="C32" s="1" t="s">
        <v>49</v>
      </c>
      <c r="D32" s="1" t="s">
        <v>70</v>
      </c>
      <c r="E32" s="1" t="s">
        <v>71</v>
      </c>
      <c r="F32" s="1" t="s">
        <v>18</v>
      </c>
      <c r="G32" s="1">
        <v>51370</v>
      </c>
      <c r="H32" s="2">
        <v>46145</v>
      </c>
      <c r="I32" s="1" t="str">
        <f t="shared" si="0"/>
        <v>V007|Vendor 7</v>
      </c>
      <c r="J32" s="1" t="str">
        <f t="shared" si="0"/>
        <v>Vendor 7|MAT110</v>
      </c>
      <c r="K32" s="1" t="str">
        <f t="shared" si="1"/>
        <v>Exception</v>
      </c>
      <c r="L32" s="1" t="str">
        <f t="shared" si="2"/>
        <v>Exception</v>
      </c>
      <c r="M32" s="1" t="str">
        <f t="shared" si="3"/>
        <v>Scenario A + B</v>
      </c>
    </row>
    <row r="33" spans="1:13" x14ac:dyDescent="0.35">
      <c r="A33" s="1" t="s">
        <v>112</v>
      </c>
      <c r="B33" s="1" t="s">
        <v>53</v>
      </c>
      <c r="C33" s="1" t="s">
        <v>54</v>
      </c>
      <c r="D33" s="1" t="s">
        <v>75</v>
      </c>
      <c r="E33" s="1" t="s">
        <v>76</v>
      </c>
      <c r="F33" s="1" t="s">
        <v>41</v>
      </c>
      <c r="G33" s="1">
        <v>52749</v>
      </c>
      <c r="H33" s="2">
        <v>46146</v>
      </c>
      <c r="I33" s="1" t="str">
        <f t="shared" si="0"/>
        <v>V008|Vendor 8</v>
      </c>
      <c r="J33" s="1" t="str">
        <f t="shared" si="0"/>
        <v>Vendor 8|MAT111</v>
      </c>
      <c r="K33" s="1" t="str">
        <f t="shared" si="1"/>
        <v>No Exception</v>
      </c>
      <c r="L33" s="1" t="str">
        <f t="shared" si="2"/>
        <v>No Exception</v>
      </c>
      <c r="M33" s="1" t="str">
        <f t="shared" si="3"/>
        <v>No Exception</v>
      </c>
    </row>
    <row r="34" spans="1:13" x14ac:dyDescent="0.35">
      <c r="A34" s="1" t="s">
        <v>113</v>
      </c>
      <c r="B34" s="1" t="s">
        <v>58</v>
      </c>
      <c r="C34" s="1" t="s">
        <v>59</v>
      </c>
      <c r="D34" s="1" t="s">
        <v>78</v>
      </c>
      <c r="E34" s="1" t="s">
        <v>79</v>
      </c>
      <c r="F34" s="1" t="s">
        <v>30</v>
      </c>
      <c r="G34" s="1">
        <v>54128</v>
      </c>
      <c r="H34" s="2">
        <v>46147</v>
      </c>
      <c r="I34" s="1" t="str">
        <f t="shared" si="0"/>
        <v>V009|Vendor 9</v>
      </c>
      <c r="J34" s="1" t="str">
        <f t="shared" si="0"/>
        <v>Vendor 9|MAT112</v>
      </c>
      <c r="K34" s="1" t="str">
        <f t="shared" si="1"/>
        <v>No Exception</v>
      </c>
      <c r="L34" s="1" t="str">
        <f t="shared" si="2"/>
        <v>No Exception</v>
      </c>
      <c r="M34" s="1" t="str">
        <f t="shared" si="3"/>
        <v>No Exception</v>
      </c>
    </row>
    <row r="35" spans="1:13" x14ac:dyDescent="0.35">
      <c r="A35" s="1" t="s">
        <v>114</v>
      </c>
      <c r="B35" s="1" t="s">
        <v>63</v>
      </c>
      <c r="C35" s="1" t="s">
        <v>64</v>
      </c>
      <c r="D35" s="1" t="s">
        <v>81</v>
      </c>
      <c r="E35" s="1" t="s">
        <v>82</v>
      </c>
      <c r="F35" s="1" t="s">
        <v>18</v>
      </c>
      <c r="G35" s="1">
        <v>55507</v>
      </c>
      <c r="H35" s="2">
        <v>46148</v>
      </c>
      <c r="I35" s="1" t="str">
        <f t="shared" si="0"/>
        <v>V010|Vendor 10</v>
      </c>
      <c r="J35" s="1" t="str">
        <f t="shared" si="0"/>
        <v>Vendor 10|MAT113</v>
      </c>
      <c r="K35" s="1" t="str">
        <f t="shared" si="1"/>
        <v>Exception</v>
      </c>
      <c r="L35" s="1" t="str">
        <f t="shared" si="2"/>
        <v>Exception</v>
      </c>
      <c r="M35" s="1" t="str">
        <f t="shared" si="3"/>
        <v>Scenario A + B</v>
      </c>
    </row>
    <row r="36" spans="1:13" x14ac:dyDescent="0.35">
      <c r="A36" s="1" t="s">
        <v>115</v>
      </c>
      <c r="B36" s="1" t="s">
        <v>68</v>
      </c>
      <c r="C36" s="1" t="s">
        <v>69</v>
      </c>
      <c r="D36" s="1" t="s">
        <v>84</v>
      </c>
      <c r="E36" s="1" t="s">
        <v>85</v>
      </c>
      <c r="F36" s="1" t="s">
        <v>41</v>
      </c>
      <c r="G36" s="1">
        <v>56886</v>
      </c>
      <c r="H36" s="2">
        <v>46149</v>
      </c>
      <c r="I36" s="1" t="str">
        <f t="shared" si="0"/>
        <v>V011|Vendor 11</v>
      </c>
      <c r="J36" s="1" t="str">
        <f t="shared" si="0"/>
        <v>Vendor 11|MAT114</v>
      </c>
      <c r="K36" s="1" t="str">
        <f t="shared" si="1"/>
        <v>Exception</v>
      </c>
      <c r="L36" s="1" t="str">
        <f t="shared" si="2"/>
        <v>Exception</v>
      </c>
      <c r="M36" s="1" t="str">
        <f t="shared" si="3"/>
        <v>Scenario A + B</v>
      </c>
    </row>
    <row r="37" spans="1:13" x14ac:dyDescent="0.35">
      <c r="A37" s="1" t="s">
        <v>116</v>
      </c>
      <c r="B37" s="1" t="s">
        <v>73</v>
      </c>
      <c r="C37" s="1" t="s">
        <v>74</v>
      </c>
      <c r="D37" s="1" t="s">
        <v>87</v>
      </c>
      <c r="E37" s="1" t="s">
        <v>88</v>
      </c>
      <c r="F37" s="1" t="s">
        <v>18</v>
      </c>
      <c r="G37" s="1">
        <v>58265</v>
      </c>
      <c r="H37" s="2">
        <v>46150</v>
      </c>
      <c r="I37" s="1" t="str">
        <f t="shared" si="0"/>
        <v>V012|Vendor 12</v>
      </c>
      <c r="J37" s="1" t="str">
        <f t="shared" si="0"/>
        <v>Vendor 12|MAT115</v>
      </c>
      <c r="K37" s="1" t="str">
        <f t="shared" si="1"/>
        <v>No Exception</v>
      </c>
      <c r="L37" s="1" t="str">
        <f t="shared" si="2"/>
        <v>No Exception</v>
      </c>
      <c r="M37" s="1" t="str">
        <f t="shared" si="3"/>
        <v>No Exception</v>
      </c>
    </row>
    <row r="38" spans="1:13" x14ac:dyDescent="0.35">
      <c r="A38" s="1" t="s">
        <v>117</v>
      </c>
      <c r="B38" s="1" t="s">
        <v>14</v>
      </c>
      <c r="C38" s="1" t="s">
        <v>15</v>
      </c>
      <c r="D38" s="1" t="s">
        <v>90</v>
      </c>
      <c r="E38" s="1" t="s">
        <v>91</v>
      </c>
      <c r="F38" s="1" t="s">
        <v>18</v>
      </c>
      <c r="G38" s="1">
        <v>59644</v>
      </c>
      <c r="H38" s="2">
        <v>46151</v>
      </c>
      <c r="I38" s="1" t="str">
        <f t="shared" si="0"/>
        <v>V001|Vendor 1</v>
      </c>
      <c r="J38" s="1" t="str">
        <f t="shared" si="0"/>
        <v>Vendor 1|MAT116</v>
      </c>
      <c r="K38" s="1" t="str">
        <f t="shared" si="1"/>
        <v>No Exception</v>
      </c>
      <c r="L38" s="1" t="str">
        <f t="shared" si="2"/>
        <v>No Exception</v>
      </c>
      <c r="M38" s="1" t="str">
        <f t="shared" si="3"/>
        <v>No Exception</v>
      </c>
    </row>
    <row r="39" spans="1:13" x14ac:dyDescent="0.35">
      <c r="A39" s="1" t="s">
        <v>118</v>
      </c>
      <c r="B39" s="1" t="s">
        <v>20</v>
      </c>
      <c r="C39" s="1" t="s">
        <v>21</v>
      </c>
      <c r="D39" s="1" t="s">
        <v>93</v>
      </c>
      <c r="E39" s="1" t="s">
        <v>94</v>
      </c>
      <c r="F39" s="1" t="s">
        <v>24</v>
      </c>
      <c r="G39" s="1">
        <v>61023</v>
      </c>
      <c r="H39" s="2">
        <v>46152</v>
      </c>
      <c r="I39" s="1" t="str">
        <f t="shared" si="0"/>
        <v>V002|Vendor 2</v>
      </c>
      <c r="J39" s="1" t="str">
        <f t="shared" si="0"/>
        <v>Vendor 2|MAT117</v>
      </c>
      <c r="K39" s="1" t="str">
        <f t="shared" si="1"/>
        <v>No Exception</v>
      </c>
      <c r="L39" s="1" t="str">
        <f t="shared" si="2"/>
        <v>No Exception</v>
      </c>
      <c r="M39" s="1" t="str">
        <f t="shared" si="3"/>
        <v>No Exception</v>
      </c>
    </row>
    <row r="40" spans="1:13" x14ac:dyDescent="0.35">
      <c r="A40" s="1" t="s">
        <v>119</v>
      </c>
      <c r="B40" s="1" t="s">
        <v>26</v>
      </c>
      <c r="C40" s="1" t="s">
        <v>27</v>
      </c>
      <c r="D40" s="1" t="s">
        <v>96</v>
      </c>
      <c r="E40" s="1" t="s">
        <v>97</v>
      </c>
      <c r="F40" s="1" t="s">
        <v>30</v>
      </c>
      <c r="G40" s="1">
        <v>62402</v>
      </c>
      <c r="H40" s="2">
        <v>46153</v>
      </c>
      <c r="I40" s="1" t="str">
        <f t="shared" si="0"/>
        <v>V003|Vendor 3</v>
      </c>
      <c r="J40" s="1" t="str">
        <f t="shared" si="0"/>
        <v>Vendor 3|MAT118</v>
      </c>
      <c r="K40" s="1" t="str">
        <f t="shared" si="1"/>
        <v>No Exception</v>
      </c>
      <c r="L40" s="1" t="str">
        <f t="shared" si="2"/>
        <v>No Exception</v>
      </c>
      <c r="M40" s="1" t="str">
        <f t="shared" si="3"/>
        <v>No Exception</v>
      </c>
    </row>
    <row r="41" spans="1:13" x14ac:dyDescent="0.35">
      <c r="A41" s="1" t="s">
        <v>120</v>
      </c>
      <c r="B41" s="1" t="s">
        <v>32</v>
      </c>
      <c r="C41" s="1" t="s">
        <v>33</v>
      </c>
      <c r="D41" s="1" t="s">
        <v>99</v>
      </c>
      <c r="E41" s="1" t="s">
        <v>100</v>
      </c>
      <c r="F41" s="1" t="s">
        <v>18</v>
      </c>
      <c r="G41" s="1">
        <v>63781</v>
      </c>
      <c r="H41" s="2">
        <v>46154</v>
      </c>
      <c r="I41" s="1" t="str">
        <f t="shared" si="0"/>
        <v>V004|Vendor 4</v>
      </c>
      <c r="J41" s="1" t="str">
        <f t="shared" si="0"/>
        <v>Vendor 4|MAT119</v>
      </c>
      <c r="K41" s="1" t="str">
        <f t="shared" si="1"/>
        <v>Exception</v>
      </c>
      <c r="L41" s="1" t="str">
        <f t="shared" si="2"/>
        <v>Exception</v>
      </c>
      <c r="M41" s="1" t="str">
        <f t="shared" si="3"/>
        <v>Scenario A + B</v>
      </c>
    </row>
    <row r="42" spans="1:13" x14ac:dyDescent="0.35">
      <c r="A42" s="1" t="s">
        <v>121</v>
      </c>
      <c r="B42" s="1" t="s">
        <v>37</v>
      </c>
      <c r="C42" s="1" t="s">
        <v>38</v>
      </c>
      <c r="D42" s="1" t="s">
        <v>16</v>
      </c>
      <c r="E42" s="1" t="s">
        <v>17</v>
      </c>
      <c r="F42" s="1" t="s">
        <v>41</v>
      </c>
      <c r="G42" s="1">
        <v>65160</v>
      </c>
      <c r="H42" s="2">
        <v>46155</v>
      </c>
      <c r="I42" s="1" t="str">
        <f t="shared" si="0"/>
        <v>V005|Vendor 5</v>
      </c>
      <c r="J42" s="1" t="str">
        <f t="shared" si="0"/>
        <v>Vendor 5|MAT100</v>
      </c>
      <c r="K42" s="1" t="str">
        <f t="shared" si="1"/>
        <v>No Exception</v>
      </c>
      <c r="L42" s="1" t="str">
        <f t="shared" si="2"/>
        <v>No Exception</v>
      </c>
      <c r="M42" s="1" t="str">
        <f t="shared" si="3"/>
        <v>No Exception</v>
      </c>
    </row>
    <row r="43" spans="1:13" x14ac:dyDescent="0.35">
      <c r="A43" s="1" t="s">
        <v>122</v>
      </c>
      <c r="B43" s="1" t="s">
        <v>43</v>
      </c>
      <c r="C43" s="1" t="s">
        <v>44</v>
      </c>
      <c r="D43" s="1" t="s">
        <v>22</v>
      </c>
      <c r="E43" s="1" t="s">
        <v>23</v>
      </c>
      <c r="F43" s="1" t="s">
        <v>24</v>
      </c>
      <c r="G43" s="1">
        <v>66539</v>
      </c>
      <c r="H43" s="2">
        <v>46156</v>
      </c>
      <c r="I43" s="1" t="str">
        <f t="shared" si="0"/>
        <v>V006|Vendor 6</v>
      </c>
      <c r="J43" s="1" t="str">
        <f t="shared" si="0"/>
        <v>Vendor 6|MAT101</v>
      </c>
      <c r="K43" s="1" t="str">
        <f t="shared" si="1"/>
        <v>No Exception</v>
      </c>
      <c r="L43" s="1" t="str">
        <f t="shared" si="2"/>
        <v>No Exception</v>
      </c>
      <c r="M43" s="1" t="str">
        <f t="shared" si="3"/>
        <v>No Exception</v>
      </c>
    </row>
    <row r="44" spans="1:13" x14ac:dyDescent="0.35">
      <c r="A44" s="1" t="s">
        <v>123</v>
      </c>
      <c r="B44" s="1" t="s">
        <v>48</v>
      </c>
      <c r="C44" s="1" t="s">
        <v>49</v>
      </c>
      <c r="D44" s="1" t="s">
        <v>28</v>
      </c>
      <c r="E44" s="1" t="s">
        <v>29</v>
      </c>
      <c r="F44" s="1" t="s">
        <v>24</v>
      </c>
      <c r="G44" s="1">
        <v>67918</v>
      </c>
      <c r="H44" s="2">
        <v>46157</v>
      </c>
      <c r="I44" s="1" t="str">
        <f t="shared" si="0"/>
        <v>V007|Vendor 7</v>
      </c>
      <c r="J44" s="1" t="str">
        <f t="shared" si="0"/>
        <v>Vendor 7|MAT102</v>
      </c>
      <c r="K44" s="1" t="str">
        <f t="shared" si="1"/>
        <v>Exception</v>
      </c>
      <c r="L44" s="1" t="str">
        <f t="shared" si="2"/>
        <v>No Exception</v>
      </c>
      <c r="M44" s="1" t="str">
        <f t="shared" si="3"/>
        <v>Scenario A</v>
      </c>
    </row>
    <row r="45" spans="1:13" x14ac:dyDescent="0.35">
      <c r="A45" s="1" t="s">
        <v>124</v>
      </c>
      <c r="B45" s="1" t="s">
        <v>53</v>
      </c>
      <c r="C45" s="1" t="s">
        <v>54</v>
      </c>
      <c r="D45" s="1" t="s">
        <v>34</v>
      </c>
      <c r="E45" s="1" t="s">
        <v>35</v>
      </c>
      <c r="F45" s="1" t="s">
        <v>41</v>
      </c>
      <c r="G45" s="1">
        <v>69297</v>
      </c>
      <c r="H45" s="2">
        <v>46158</v>
      </c>
      <c r="I45" s="1" t="str">
        <f t="shared" si="0"/>
        <v>V008|Vendor 8</v>
      </c>
      <c r="J45" s="1" t="str">
        <f t="shared" si="0"/>
        <v>Vendor 8|MAT103</v>
      </c>
      <c r="K45" s="1" t="str">
        <f t="shared" si="1"/>
        <v>No Exception</v>
      </c>
      <c r="L45" s="1" t="str">
        <f t="shared" si="2"/>
        <v>No Exception</v>
      </c>
      <c r="M45" s="1" t="str">
        <f t="shared" si="3"/>
        <v>No Exception</v>
      </c>
    </row>
    <row r="46" spans="1:13" x14ac:dyDescent="0.35">
      <c r="A46" s="1" t="s">
        <v>125</v>
      </c>
      <c r="B46" s="1" t="s">
        <v>58</v>
      </c>
      <c r="C46" s="1" t="s">
        <v>59</v>
      </c>
      <c r="D46" s="1" t="s">
        <v>39</v>
      </c>
      <c r="E46" s="1" t="s">
        <v>40</v>
      </c>
      <c r="F46" s="1" t="s">
        <v>30</v>
      </c>
      <c r="G46" s="1">
        <v>70676</v>
      </c>
      <c r="H46" s="2">
        <v>46159</v>
      </c>
      <c r="I46" s="1" t="str">
        <f t="shared" si="0"/>
        <v>V009|Vendor 9</v>
      </c>
      <c r="J46" s="1" t="str">
        <f t="shared" si="0"/>
        <v>Vendor 9|MAT104</v>
      </c>
      <c r="K46" s="1" t="str">
        <f t="shared" si="1"/>
        <v>No Exception</v>
      </c>
      <c r="L46" s="1" t="str">
        <f t="shared" si="2"/>
        <v>No Exception</v>
      </c>
      <c r="M46" s="1" t="str">
        <f t="shared" si="3"/>
        <v>No Exception</v>
      </c>
    </row>
    <row r="47" spans="1:13" x14ac:dyDescent="0.35">
      <c r="A47" s="1" t="s">
        <v>126</v>
      </c>
      <c r="B47" s="1" t="s">
        <v>63</v>
      </c>
      <c r="C47" s="1" t="s">
        <v>64</v>
      </c>
      <c r="D47" s="1" t="s">
        <v>45</v>
      </c>
      <c r="E47" s="1" t="s">
        <v>46</v>
      </c>
      <c r="F47" s="1" t="s">
        <v>30</v>
      </c>
      <c r="G47" s="1">
        <v>72055</v>
      </c>
      <c r="H47" s="2">
        <v>46160</v>
      </c>
      <c r="I47" s="1" t="str">
        <f t="shared" si="0"/>
        <v>V010|Vendor 10</v>
      </c>
      <c r="J47" s="1" t="str">
        <f t="shared" si="0"/>
        <v>Vendor 10|MAT105</v>
      </c>
      <c r="K47" s="1" t="str">
        <f t="shared" si="1"/>
        <v>Exception</v>
      </c>
      <c r="L47" s="1" t="str">
        <f t="shared" si="2"/>
        <v>No Exception</v>
      </c>
      <c r="M47" s="1" t="str">
        <f t="shared" si="3"/>
        <v>Scenario A</v>
      </c>
    </row>
    <row r="48" spans="1:13" x14ac:dyDescent="0.35">
      <c r="A48" s="1" t="s">
        <v>127</v>
      </c>
      <c r="B48" s="1" t="s">
        <v>68</v>
      </c>
      <c r="C48" s="1" t="s">
        <v>69</v>
      </c>
      <c r="D48" s="1" t="s">
        <v>50</v>
      </c>
      <c r="E48" s="1" t="s">
        <v>51</v>
      </c>
      <c r="F48" s="1" t="s">
        <v>30</v>
      </c>
      <c r="G48" s="1">
        <v>73434</v>
      </c>
      <c r="H48" s="2">
        <v>46161</v>
      </c>
      <c r="I48" s="1" t="str">
        <f t="shared" si="0"/>
        <v>V011|Vendor 11</v>
      </c>
      <c r="J48" s="1" t="str">
        <f t="shared" si="0"/>
        <v>Vendor 11|MAT106</v>
      </c>
      <c r="K48" s="1" t="str">
        <f t="shared" si="1"/>
        <v>Exception</v>
      </c>
      <c r="L48" s="1" t="str">
        <f t="shared" si="2"/>
        <v>No Exception</v>
      </c>
      <c r="M48" s="1" t="str">
        <f t="shared" si="3"/>
        <v>Scenario A</v>
      </c>
    </row>
    <row r="49" spans="1:13" x14ac:dyDescent="0.35">
      <c r="A49" s="1" t="s">
        <v>128</v>
      </c>
      <c r="B49" s="1" t="s">
        <v>73</v>
      </c>
      <c r="C49" s="1" t="s">
        <v>74</v>
      </c>
      <c r="D49" s="1" t="s">
        <v>55</v>
      </c>
      <c r="E49" s="1" t="s">
        <v>56</v>
      </c>
      <c r="F49" s="1" t="s">
        <v>18</v>
      </c>
      <c r="G49" s="1">
        <v>74813</v>
      </c>
      <c r="H49" s="2">
        <v>46162</v>
      </c>
      <c r="I49" s="1" t="str">
        <f t="shared" si="0"/>
        <v>V012|Vendor 12</v>
      </c>
      <c r="J49" s="1" t="str">
        <f t="shared" si="0"/>
        <v>Vendor 12|MAT107</v>
      </c>
      <c r="K49" s="1" t="str">
        <f t="shared" si="1"/>
        <v>No Exception</v>
      </c>
      <c r="L49" s="1" t="str">
        <f t="shared" si="2"/>
        <v>No Exception</v>
      </c>
      <c r="M49" s="1" t="str">
        <f t="shared" si="3"/>
        <v>No Exception</v>
      </c>
    </row>
    <row r="50" spans="1:13" x14ac:dyDescent="0.35">
      <c r="A50" s="1" t="s">
        <v>129</v>
      </c>
      <c r="B50" s="1" t="s">
        <v>14</v>
      </c>
      <c r="C50" s="1" t="s">
        <v>15</v>
      </c>
      <c r="D50" s="1" t="s">
        <v>60</v>
      </c>
      <c r="E50" s="1" t="s">
        <v>61</v>
      </c>
      <c r="F50" s="1" t="s">
        <v>18</v>
      </c>
      <c r="G50" s="1">
        <v>76192</v>
      </c>
      <c r="H50" s="2">
        <v>46163</v>
      </c>
      <c r="I50" s="1" t="str">
        <f t="shared" si="0"/>
        <v>V001|Vendor 1</v>
      </c>
      <c r="J50" s="1" t="str">
        <f t="shared" si="0"/>
        <v>Vendor 1|MAT108</v>
      </c>
      <c r="K50" s="1" t="str">
        <f t="shared" si="1"/>
        <v>No Exception</v>
      </c>
      <c r="L50" s="1" t="str">
        <f t="shared" si="2"/>
        <v>No Exception</v>
      </c>
      <c r="M50" s="1" t="str">
        <f t="shared" si="3"/>
        <v>No Exception</v>
      </c>
    </row>
    <row r="51" spans="1:13" x14ac:dyDescent="0.35">
      <c r="A51" s="1" t="s">
        <v>130</v>
      </c>
      <c r="B51" s="1" t="s">
        <v>20</v>
      </c>
      <c r="C51" s="1" t="s">
        <v>21</v>
      </c>
      <c r="D51" s="1" t="s">
        <v>65</v>
      </c>
      <c r="E51" s="1" t="s">
        <v>66</v>
      </c>
      <c r="F51" s="1" t="s">
        <v>24</v>
      </c>
      <c r="G51" s="1">
        <v>77571</v>
      </c>
      <c r="H51" s="2">
        <v>46164</v>
      </c>
      <c r="I51" s="1" t="str">
        <f t="shared" si="0"/>
        <v>V002|Vendor 2</v>
      </c>
      <c r="J51" s="1" t="str">
        <f t="shared" si="0"/>
        <v>Vendor 2|MAT109</v>
      </c>
      <c r="K51" s="1" t="str">
        <f t="shared" si="1"/>
        <v>No Exception</v>
      </c>
      <c r="L51" s="1" t="str">
        <f t="shared" si="2"/>
        <v>No Exception</v>
      </c>
      <c r="M51" s="1" t="str">
        <f t="shared" si="3"/>
        <v>No Exception</v>
      </c>
    </row>
    <row r="52" spans="1:13" x14ac:dyDescent="0.35">
      <c r="A52" s="1" t="s">
        <v>131</v>
      </c>
      <c r="B52" s="1" t="s">
        <v>26</v>
      </c>
      <c r="C52" s="1" t="s">
        <v>27</v>
      </c>
      <c r="D52" s="1" t="s">
        <v>70</v>
      </c>
      <c r="E52" s="1" t="s">
        <v>71</v>
      </c>
      <c r="F52" s="1" t="s">
        <v>30</v>
      </c>
      <c r="G52" s="1">
        <v>78950</v>
      </c>
      <c r="H52" s="2">
        <v>46165</v>
      </c>
      <c r="I52" s="1" t="str">
        <f t="shared" si="0"/>
        <v>V003|Vendor 3</v>
      </c>
      <c r="J52" s="1" t="str">
        <f t="shared" si="0"/>
        <v>Vendor 3|MAT110</v>
      </c>
      <c r="K52" s="1" t="str">
        <f t="shared" si="1"/>
        <v>No Exception</v>
      </c>
      <c r="L52" s="1" t="str">
        <f t="shared" si="2"/>
        <v>No Exception</v>
      </c>
      <c r="M52" s="1" t="str">
        <f t="shared" si="3"/>
        <v>No Exception</v>
      </c>
    </row>
    <row r="53" spans="1:13" x14ac:dyDescent="0.35">
      <c r="A53" s="1" t="s">
        <v>132</v>
      </c>
      <c r="B53" s="1" t="s">
        <v>32</v>
      </c>
      <c r="C53" s="1" t="s">
        <v>33</v>
      </c>
      <c r="D53" s="1" t="s">
        <v>75</v>
      </c>
      <c r="E53" s="1" t="s">
        <v>76</v>
      </c>
      <c r="F53" s="1" t="s">
        <v>30</v>
      </c>
      <c r="G53" s="1">
        <v>80329</v>
      </c>
      <c r="H53" s="2">
        <v>46166</v>
      </c>
      <c r="I53" s="1" t="str">
        <f t="shared" si="0"/>
        <v>V004|Vendor 4</v>
      </c>
      <c r="J53" s="1" t="str">
        <f t="shared" si="0"/>
        <v>Vendor 4|MAT111</v>
      </c>
      <c r="K53" s="1" t="str">
        <f t="shared" si="1"/>
        <v>Exception</v>
      </c>
      <c r="L53" s="1" t="str">
        <f t="shared" si="2"/>
        <v>No Exception</v>
      </c>
      <c r="M53" s="1" t="str">
        <f t="shared" si="3"/>
        <v>Scenario A</v>
      </c>
    </row>
    <row r="54" spans="1:13" x14ac:dyDescent="0.35">
      <c r="A54" s="1" t="s">
        <v>133</v>
      </c>
      <c r="B54" s="1" t="s">
        <v>37</v>
      </c>
      <c r="C54" s="1" t="s">
        <v>38</v>
      </c>
      <c r="D54" s="1" t="s">
        <v>78</v>
      </c>
      <c r="E54" s="1" t="s">
        <v>79</v>
      </c>
      <c r="F54" s="1" t="s">
        <v>41</v>
      </c>
      <c r="G54" s="1">
        <v>81708</v>
      </c>
      <c r="H54" s="2">
        <v>46167</v>
      </c>
      <c r="I54" s="1" t="str">
        <f t="shared" si="0"/>
        <v>V005|Vendor 5</v>
      </c>
      <c r="J54" s="1" t="str">
        <f t="shared" si="0"/>
        <v>Vendor 5|MAT112</v>
      </c>
      <c r="K54" s="1" t="str">
        <f t="shared" si="1"/>
        <v>No Exception</v>
      </c>
      <c r="L54" s="1" t="str">
        <f t="shared" si="2"/>
        <v>No Exception</v>
      </c>
      <c r="M54" s="1" t="str">
        <f t="shared" si="3"/>
        <v>No Exception</v>
      </c>
    </row>
    <row r="55" spans="1:13" x14ac:dyDescent="0.35">
      <c r="A55" s="1" t="s">
        <v>134</v>
      </c>
      <c r="B55" s="1" t="s">
        <v>43</v>
      </c>
      <c r="C55" s="1" t="s">
        <v>44</v>
      </c>
      <c r="D55" s="1" t="s">
        <v>81</v>
      </c>
      <c r="E55" s="1" t="s">
        <v>82</v>
      </c>
      <c r="F55" s="1" t="s">
        <v>24</v>
      </c>
      <c r="G55" s="1">
        <v>83087</v>
      </c>
      <c r="H55" s="2">
        <v>46168</v>
      </c>
      <c r="I55" s="1" t="str">
        <f t="shared" si="0"/>
        <v>V006|Vendor 6</v>
      </c>
      <c r="J55" s="1" t="str">
        <f t="shared" si="0"/>
        <v>Vendor 6|MAT113</v>
      </c>
      <c r="K55" s="1" t="str">
        <f t="shared" si="1"/>
        <v>No Exception</v>
      </c>
      <c r="L55" s="1" t="str">
        <f t="shared" si="2"/>
        <v>No Exception</v>
      </c>
      <c r="M55" s="1" t="str">
        <f t="shared" si="3"/>
        <v>No Exception</v>
      </c>
    </row>
    <row r="56" spans="1:13" x14ac:dyDescent="0.35">
      <c r="A56" s="1" t="s">
        <v>135</v>
      </c>
      <c r="B56" s="1" t="s">
        <v>48</v>
      </c>
      <c r="C56" s="1" t="s">
        <v>49</v>
      </c>
      <c r="D56" s="1" t="s">
        <v>84</v>
      </c>
      <c r="E56" s="1" t="s">
        <v>85</v>
      </c>
      <c r="F56" s="1" t="s">
        <v>18</v>
      </c>
      <c r="G56" s="1">
        <v>84466</v>
      </c>
      <c r="H56" s="2">
        <v>46169</v>
      </c>
      <c r="I56" s="1" t="str">
        <f t="shared" si="0"/>
        <v>V007|Vendor 7</v>
      </c>
      <c r="J56" s="1" t="str">
        <f t="shared" si="0"/>
        <v>Vendor 7|MAT114</v>
      </c>
      <c r="K56" s="1" t="str">
        <f t="shared" si="1"/>
        <v>Exception</v>
      </c>
      <c r="L56" s="1" t="str">
        <f t="shared" si="2"/>
        <v>No Exception</v>
      </c>
      <c r="M56" s="1" t="str">
        <f t="shared" si="3"/>
        <v>Scenario A</v>
      </c>
    </row>
    <row r="57" spans="1:13" x14ac:dyDescent="0.35">
      <c r="A57" s="1" t="s">
        <v>136</v>
      </c>
      <c r="B57" s="1" t="s">
        <v>53</v>
      </c>
      <c r="C57" s="1" t="s">
        <v>54</v>
      </c>
      <c r="D57" s="1" t="s">
        <v>87</v>
      </c>
      <c r="E57" s="1" t="s">
        <v>88</v>
      </c>
      <c r="F57" s="1" t="s">
        <v>41</v>
      </c>
      <c r="G57" s="1">
        <v>85845</v>
      </c>
      <c r="H57" s="2">
        <v>46170</v>
      </c>
      <c r="I57" s="1" t="str">
        <f t="shared" si="0"/>
        <v>V008|Vendor 8</v>
      </c>
      <c r="J57" s="1" t="str">
        <f t="shared" si="0"/>
        <v>Vendor 8|MAT115</v>
      </c>
      <c r="K57" s="1" t="str">
        <f t="shared" si="1"/>
        <v>No Exception</v>
      </c>
      <c r="L57" s="1" t="str">
        <f t="shared" si="2"/>
        <v>No Exception</v>
      </c>
      <c r="M57" s="1" t="str">
        <f t="shared" si="3"/>
        <v>No Exception</v>
      </c>
    </row>
    <row r="58" spans="1:13" x14ac:dyDescent="0.35">
      <c r="A58" s="1" t="s">
        <v>137</v>
      </c>
      <c r="B58" s="1" t="s">
        <v>58</v>
      </c>
      <c r="C58" s="1" t="s">
        <v>59</v>
      </c>
      <c r="D58" s="1" t="s">
        <v>90</v>
      </c>
      <c r="E58" s="1" t="s">
        <v>91</v>
      </c>
      <c r="F58" s="1" t="s">
        <v>30</v>
      </c>
      <c r="G58" s="1">
        <v>87224</v>
      </c>
      <c r="H58" s="2">
        <v>46143</v>
      </c>
      <c r="I58" s="1" t="str">
        <f t="shared" si="0"/>
        <v>V009|Vendor 9</v>
      </c>
      <c r="J58" s="1" t="str">
        <f t="shared" si="0"/>
        <v>Vendor 9|MAT116</v>
      </c>
      <c r="K58" s="1" t="str">
        <f t="shared" si="1"/>
        <v>No Exception</v>
      </c>
      <c r="L58" s="1" t="str">
        <f t="shared" si="2"/>
        <v>No Exception</v>
      </c>
      <c r="M58" s="1" t="str">
        <f t="shared" si="3"/>
        <v>No Exception</v>
      </c>
    </row>
    <row r="59" spans="1:13" x14ac:dyDescent="0.35">
      <c r="A59" s="1" t="s">
        <v>138</v>
      </c>
      <c r="B59" s="1" t="s">
        <v>63</v>
      </c>
      <c r="C59" s="1" t="s">
        <v>64</v>
      </c>
      <c r="D59" s="1" t="s">
        <v>93</v>
      </c>
      <c r="E59" s="1" t="s">
        <v>94</v>
      </c>
      <c r="F59" s="1" t="s">
        <v>18</v>
      </c>
      <c r="G59" s="1">
        <v>88603</v>
      </c>
      <c r="H59" s="2">
        <v>46144</v>
      </c>
      <c r="I59" s="1" t="str">
        <f t="shared" si="0"/>
        <v>V010|Vendor 10</v>
      </c>
      <c r="J59" s="1" t="str">
        <f t="shared" si="0"/>
        <v>Vendor 10|MAT117</v>
      </c>
      <c r="K59" s="1" t="str">
        <f t="shared" si="1"/>
        <v>Exception</v>
      </c>
      <c r="L59" s="1" t="str">
        <f t="shared" si="2"/>
        <v>No Exception</v>
      </c>
      <c r="M59" s="1" t="str">
        <f t="shared" si="3"/>
        <v>Scenario A</v>
      </c>
    </row>
    <row r="60" spans="1:13" x14ac:dyDescent="0.35">
      <c r="A60" s="1" t="s">
        <v>139</v>
      </c>
      <c r="B60" s="1" t="s">
        <v>68</v>
      </c>
      <c r="C60" s="1" t="s">
        <v>69</v>
      </c>
      <c r="D60" s="1" t="s">
        <v>96</v>
      </c>
      <c r="E60" s="1" t="s">
        <v>97</v>
      </c>
      <c r="F60" s="1" t="s">
        <v>24</v>
      </c>
      <c r="G60" s="1">
        <v>89982</v>
      </c>
      <c r="H60" s="2">
        <v>46145</v>
      </c>
      <c r="I60" s="1" t="str">
        <f t="shared" si="0"/>
        <v>V011|Vendor 11</v>
      </c>
      <c r="J60" s="1" t="str">
        <f t="shared" si="0"/>
        <v>Vendor 11|MAT118</v>
      </c>
      <c r="K60" s="1" t="str">
        <f t="shared" si="1"/>
        <v>Exception</v>
      </c>
      <c r="L60" s="1" t="str">
        <f t="shared" si="2"/>
        <v>No Exception</v>
      </c>
      <c r="M60" s="1" t="str">
        <f t="shared" si="3"/>
        <v>Scenario A</v>
      </c>
    </row>
    <row r="61" spans="1:13" x14ac:dyDescent="0.35">
      <c r="A61" s="1" t="s">
        <v>140</v>
      </c>
      <c r="B61" s="1" t="s">
        <v>73</v>
      </c>
      <c r="C61" s="1" t="s">
        <v>74</v>
      </c>
      <c r="D61" s="1" t="s">
        <v>99</v>
      </c>
      <c r="E61" s="1" t="s">
        <v>100</v>
      </c>
      <c r="F61" s="1" t="s">
        <v>18</v>
      </c>
      <c r="G61" s="1">
        <v>91361</v>
      </c>
      <c r="H61" s="2">
        <v>46146</v>
      </c>
      <c r="I61" s="1" t="str">
        <f t="shared" si="0"/>
        <v>V012|Vendor 12</v>
      </c>
      <c r="J61" s="1" t="str">
        <f t="shared" si="0"/>
        <v>Vendor 12|MAT119</v>
      </c>
      <c r="K61" s="1" t="str">
        <f t="shared" si="1"/>
        <v>No Exception</v>
      </c>
      <c r="L61" s="1" t="str">
        <f t="shared" si="2"/>
        <v>No Exception</v>
      </c>
      <c r="M61" s="1" t="str">
        <f t="shared" si="3"/>
        <v>No Exception</v>
      </c>
    </row>
    <row r="62" spans="1:13" x14ac:dyDescent="0.35">
      <c r="A62" s="1" t="s">
        <v>141</v>
      </c>
      <c r="B62" s="1" t="s">
        <v>14</v>
      </c>
      <c r="C62" s="1" t="s">
        <v>15</v>
      </c>
      <c r="D62" s="1" t="s">
        <v>16</v>
      </c>
      <c r="E62" s="1" t="s">
        <v>17</v>
      </c>
      <c r="F62" s="1" t="s">
        <v>18</v>
      </c>
      <c r="G62" s="1">
        <v>92740</v>
      </c>
      <c r="H62" s="2">
        <v>46147</v>
      </c>
      <c r="I62" s="1" t="str">
        <f t="shared" si="0"/>
        <v>V001|Vendor 1</v>
      </c>
      <c r="J62" s="1" t="str">
        <f t="shared" si="0"/>
        <v>Vendor 1|MAT100</v>
      </c>
      <c r="K62" s="1" t="str">
        <f t="shared" si="1"/>
        <v>No Exception</v>
      </c>
      <c r="L62" s="1" t="str">
        <f t="shared" si="2"/>
        <v>No Exception</v>
      </c>
      <c r="M62" s="1" t="str">
        <f t="shared" si="3"/>
        <v>No Exception</v>
      </c>
    </row>
    <row r="63" spans="1:13" x14ac:dyDescent="0.35">
      <c r="A63" s="1" t="s">
        <v>142</v>
      </c>
      <c r="B63" s="1" t="s">
        <v>20</v>
      </c>
      <c r="C63" s="1" t="s">
        <v>21</v>
      </c>
      <c r="D63" s="1" t="s">
        <v>22</v>
      </c>
      <c r="E63" s="1" t="s">
        <v>23</v>
      </c>
      <c r="F63" s="1" t="s">
        <v>24</v>
      </c>
      <c r="G63" s="1">
        <v>94119</v>
      </c>
      <c r="H63" s="2">
        <v>46148</v>
      </c>
      <c r="I63" s="1" t="str">
        <f t="shared" si="0"/>
        <v>V002|Vendor 2</v>
      </c>
      <c r="J63" s="1" t="str">
        <f t="shared" si="0"/>
        <v>Vendor 2|MAT101</v>
      </c>
      <c r="K63" s="1" t="str">
        <f t="shared" si="1"/>
        <v>No Exception</v>
      </c>
      <c r="L63" s="1" t="str">
        <f t="shared" si="2"/>
        <v>No Exception</v>
      </c>
      <c r="M63" s="1" t="str">
        <f t="shared" si="3"/>
        <v>No Exception</v>
      </c>
    </row>
    <row r="64" spans="1:13" x14ac:dyDescent="0.35">
      <c r="A64" s="1" t="s">
        <v>143</v>
      </c>
      <c r="B64" s="1" t="s">
        <v>26</v>
      </c>
      <c r="C64" s="1" t="s">
        <v>27</v>
      </c>
      <c r="D64" s="1" t="s">
        <v>28</v>
      </c>
      <c r="E64" s="1" t="s">
        <v>29</v>
      </c>
      <c r="F64" s="1" t="s">
        <v>30</v>
      </c>
      <c r="G64" s="1">
        <v>95498</v>
      </c>
      <c r="H64" s="2">
        <v>46149</v>
      </c>
      <c r="I64" s="1" t="str">
        <f t="shared" si="0"/>
        <v>V003|Vendor 3</v>
      </c>
      <c r="J64" s="1" t="str">
        <f t="shared" si="0"/>
        <v>Vendor 3|MAT102</v>
      </c>
      <c r="K64" s="1" t="str">
        <f t="shared" si="1"/>
        <v>No Exception</v>
      </c>
      <c r="L64" s="1" t="str">
        <f t="shared" si="2"/>
        <v>No Exception</v>
      </c>
      <c r="M64" s="1" t="str">
        <f t="shared" si="3"/>
        <v>No Exception</v>
      </c>
    </row>
    <row r="65" spans="1:13" x14ac:dyDescent="0.35">
      <c r="A65" s="1" t="s">
        <v>144</v>
      </c>
      <c r="B65" s="1" t="s">
        <v>32</v>
      </c>
      <c r="C65" s="1" t="s">
        <v>33</v>
      </c>
      <c r="D65" s="1" t="s">
        <v>34</v>
      </c>
      <c r="E65" s="1" t="s">
        <v>35</v>
      </c>
      <c r="F65" s="1" t="s">
        <v>41</v>
      </c>
      <c r="G65" s="1">
        <v>96877</v>
      </c>
      <c r="H65" s="2">
        <v>46150</v>
      </c>
      <c r="I65" s="1" t="str">
        <f t="shared" si="0"/>
        <v>V004|Vendor 4</v>
      </c>
      <c r="J65" s="1" t="str">
        <f t="shared" si="0"/>
        <v>Vendor 4|MAT103</v>
      </c>
      <c r="K65" s="1" t="str">
        <f t="shared" si="1"/>
        <v>Exception</v>
      </c>
      <c r="L65" s="1" t="str">
        <f t="shared" si="2"/>
        <v>Exception</v>
      </c>
      <c r="M65" s="1" t="str">
        <f t="shared" si="3"/>
        <v>Scenario A + B</v>
      </c>
    </row>
    <row r="66" spans="1:13" x14ac:dyDescent="0.35">
      <c r="A66" s="1" t="s">
        <v>145</v>
      </c>
      <c r="B66" s="1" t="s">
        <v>37</v>
      </c>
      <c r="C66" s="1" t="s">
        <v>38</v>
      </c>
      <c r="D66" s="1" t="s">
        <v>39</v>
      </c>
      <c r="E66" s="1" t="s">
        <v>40</v>
      </c>
      <c r="F66" s="1" t="s">
        <v>41</v>
      </c>
      <c r="G66" s="1">
        <v>98256</v>
      </c>
      <c r="H66" s="2">
        <v>46151</v>
      </c>
      <c r="I66" s="1" t="str">
        <f t="shared" si="0"/>
        <v>V005|Vendor 5</v>
      </c>
      <c r="J66" s="1" t="str">
        <f t="shared" si="0"/>
        <v>Vendor 5|MAT104</v>
      </c>
      <c r="K66" s="1" t="str">
        <f t="shared" si="1"/>
        <v>No Exception</v>
      </c>
      <c r="L66" s="1" t="str">
        <f t="shared" si="2"/>
        <v>No Exception</v>
      </c>
      <c r="M66" s="1" t="str">
        <f t="shared" si="3"/>
        <v>No Exception</v>
      </c>
    </row>
    <row r="67" spans="1:13" x14ac:dyDescent="0.35">
      <c r="A67" s="1" t="s">
        <v>146</v>
      </c>
      <c r="B67" s="1" t="s">
        <v>43</v>
      </c>
      <c r="C67" s="1" t="s">
        <v>44</v>
      </c>
      <c r="D67" s="1" t="s">
        <v>45</v>
      </c>
      <c r="E67" s="1" t="s">
        <v>46</v>
      </c>
      <c r="F67" s="1" t="s">
        <v>24</v>
      </c>
      <c r="G67" s="1">
        <v>99635</v>
      </c>
      <c r="H67" s="2">
        <v>46152</v>
      </c>
      <c r="I67" s="1" t="str">
        <f t="shared" ref="I67:J101" si="4">B67&amp;"|"&amp;C67</f>
        <v>V006|Vendor 6</v>
      </c>
      <c r="J67" s="1" t="str">
        <f t="shared" si="4"/>
        <v>Vendor 6|MAT105</v>
      </c>
      <c r="K67" s="1" t="str">
        <f t="shared" ref="K67:K101" si="5">IF(
COUNTIFS($I:$I,I67,$F:$F,"&lt;&gt;"&amp;F67)&gt;0,
"Exception",
"No Exception"
)</f>
        <v>No Exception</v>
      </c>
      <c r="L67" s="1" t="str">
        <f t="shared" ref="L67:L101" si="6">IF(
COUNTIFS($J:$J,J67,$F:$F,"&lt;&gt;"&amp;F67)&gt;0,
"Exception",
"No Exception"
)</f>
        <v>No Exception</v>
      </c>
      <c r="M67" s="1" t="str">
        <f t="shared" ref="M67:M101" si="7">IF(
AND(K67="Exception",L67="Exception"),
"Scenario A + B",
IF(
K67="Exception",
"Scenario A",
IF(
L67="Exception",
"Scenario B",
"No Exception"
)))</f>
        <v>No Exception</v>
      </c>
    </row>
    <row r="68" spans="1:13" x14ac:dyDescent="0.35">
      <c r="A68" s="1" t="s">
        <v>147</v>
      </c>
      <c r="B68" s="1" t="s">
        <v>48</v>
      </c>
      <c r="C68" s="1" t="s">
        <v>49</v>
      </c>
      <c r="D68" s="1" t="s">
        <v>50</v>
      </c>
      <c r="E68" s="1" t="s">
        <v>51</v>
      </c>
      <c r="F68" s="1" t="s">
        <v>24</v>
      </c>
      <c r="G68" s="1">
        <v>11014</v>
      </c>
      <c r="H68" s="2">
        <v>46153</v>
      </c>
      <c r="I68" s="1" t="str">
        <f t="shared" si="4"/>
        <v>V007|Vendor 7</v>
      </c>
      <c r="J68" s="1" t="str">
        <f t="shared" si="4"/>
        <v>Vendor 7|MAT106</v>
      </c>
      <c r="K68" s="1" t="str">
        <f t="shared" si="5"/>
        <v>Exception</v>
      </c>
      <c r="L68" s="1" t="str">
        <f t="shared" si="6"/>
        <v>Exception</v>
      </c>
      <c r="M68" s="1" t="str">
        <f t="shared" si="7"/>
        <v>Scenario A + B</v>
      </c>
    </row>
    <row r="69" spans="1:13" x14ac:dyDescent="0.35">
      <c r="A69" s="1" t="s">
        <v>148</v>
      </c>
      <c r="B69" s="1" t="s">
        <v>53</v>
      </c>
      <c r="C69" s="1" t="s">
        <v>54</v>
      </c>
      <c r="D69" s="1" t="s">
        <v>55</v>
      </c>
      <c r="E69" s="1" t="s">
        <v>56</v>
      </c>
      <c r="F69" s="1" t="s">
        <v>41</v>
      </c>
      <c r="G69" s="1">
        <v>12393</v>
      </c>
      <c r="H69" s="2">
        <v>46154</v>
      </c>
      <c r="I69" s="1" t="str">
        <f t="shared" si="4"/>
        <v>V008|Vendor 8</v>
      </c>
      <c r="J69" s="1" t="str">
        <f t="shared" si="4"/>
        <v>Vendor 8|MAT107</v>
      </c>
      <c r="K69" s="1" t="str">
        <f t="shared" si="5"/>
        <v>No Exception</v>
      </c>
      <c r="L69" s="1" t="str">
        <f t="shared" si="6"/>
        <v>No Exception</v>
      </c>
      <c r="M69" s="1" t="str">
        <f t="shared" si="7"/>
        <v>No Exception</v>
      </c>
    </row>
    <row r="70" spans="1:13" x14ac:dyDescent="0.35">
      <c r="A70" s="1" t="s">
        <v>149</v>
      </c>
      <c r="B70" s="1" t="s">
        <v>58</v>
      </c>
      <c r="C70" s="1" t="s">
        <v>59</v>
      </c>
      <c r="D70" s="1" t="s">
        <v>60</v>
      </c>
      <c r="E70" s="1" t="s">
        <v>61</v>
      </c>
      <c r="F70" s="1" t="s">
        <v>30</v>
      </c>
      <c r="G70" s="1">
        <v>13772</v>
      </c>
      <c r="H70" s="2">
        <v>46155</v>
      </c>
      <c r="I70" s="1" t="str">
        <f t="shared" si="4"/>
        <v>V009|Vendor 9</v>
      </c>
      <c r="J70" s="1" t="str">
        <f t="shared" si="4"/>
        <v>Vendor 9|MAT108</v>
      </c>
      <c r="K70" s="1" t="str">
        <f t="shared" si="5"/>
        <v>No Exception</v>
      </c>
      <c r="L70" s="1" t="str">
        <f t="shared" si="6"/>
        <v>No Exception</v>
      </c>
      <c r="M70" s="1" t="str">
        <f t="shared" si="7"/>
        <v>No Exception</v>
      </c>
    </row>
    <row r="71" spans="1:13" x14ac:dyDescent="0.35">
      <c r="A71" s="1" t="s">
        <v>150</v>
      </c>
      <c r="B71" s="1" t="s">
        <v>63</v>
      </c>
      <c r="C71" s="1" t="s">
        <v>64</v>
      </c>
      <c r="D71" s="1" t="s">
        <v>65</v>
      </c>
      <c r="E71" s="1" t="s">
        <v>66</v>
      </c>
      <c r="F71" s="1" t="s">
        <v>30</v>
      </c>
      <c r="G71" s="1">
        <v>15151</v>
      </c>
      <c r="H71" s="2">
        <v>46156</v>
      </c>
      <c r="I71" s="1" t="str">
        <f t="shared" si="4"/>
        <v>V010|Vendor 10</v>
      </c>
      <c r="J71" s="1" t="str">
        <f t="shared" si="4"/>
        <v>Vendor 10|MAT109</v>
      </c>
      <c r="K71" s="1" t="str">
        <f t="shared" si="5"/>
        <v>Exception</v>
      </c>
      <c r="L71" s="1" t="str">
        <f t="shared" si="6"/>
        <v>Exception</v>
      </c>
      <c r="M71" s="1" t="str">
        <f t="shared" si="7"/>
        <v>Scenario A + B</v>
      </c>
    </row>
    <row r="72" spans="1:13" x14ac:dyDescent="0.35">
      <c r="A72" s="1" t="s">
        <v>151</v>
      </c>
      <c r="B72" s="1" t="s">
        <v>68</v>
      </c>
      <c r="C72" s="1" t="s">
        <v>69</v>
      </c>
      <c r="D72" s="1" t="s">
        <v>70</v>
      </c>
      <c r="E72" s="1" t="s">
        <v>71</v>
      </c>
      <c r="F72" s="1" t="s">
        <v>41</v>
      </c>
      <c r="G72" s="1">
        <v>16530</v>
      </c>
      <c r="H72" s="2">
        <v>46157</v>
      </c>
      <c r="I72" s="1" t="str">
        <f t="shared" si="4"/>
        <v>V011|Vendor 11</v>
      </c>
      <c r="J72" s="1" t="str">
        <f t="shared" si="4"/>
        <v>Vendor 11|MAT110</v>
      </c>
      <c r="K72" s="1" t="str">
        <f t="shared" si="5"/>
        <v>Exception</v>
      </c>
      <c r="L72" s="1" t="str">
        <f t="shared" si="6"/>
        <v>Exception</v>
      </c>
      <c r="M72" s="1" t="str">
        <f t="shared" si="7"/>
        <v>Scenario A + B</v>
      </c>
    </row>
    <row r="73" spans="1:13" x14ac:dyDescent="0.35">
      <c r="A73" s="1" t="s">
        <v>152</v>
      </c>
      <c r="B73" s="1" t="s">
        <v>73</v>
      </c>
      <c r="C73" s="1" t="s">
        <v>74</v>
      </c>
      <c r="D73" s="1" t="s">
        <v>75</v>
      </c>
      <c r="E73" s="1" t="s">
        <v>76</v>
      </c>
      <c r="F73" s="1" t="s">
        <v>18</v>
      </c>
      <c r="G73" s="1">
        <v>17909</v>
      </c>
      <c r="H73" s="2">
        <v>46158</v>
      </c>
      <c r="I73" s="1" t="str">
        <f t="shared" si="4"/>
        <v>V012|Vendor 12</v>
      </c>
      <c r="J73" s="1" t="str">
        <f t="shared" si="4"/>
        <v>Vendor 12|MAT111</v>
      </c>
      <c r="K73" s="1" t="str">
        <f t="shared" si="5"/>
        <v>No Exception</v>
      </c>
      <c r="L73" s="1" t="str">
        <f t="shared" si="6"/>
        <v>No Exception</v>
      </c>
      <c r="M73" s="1" t="str">
        <f t="shared" si="7"/>
        <v>No Exception</v>
      </c>
    </row>
    <row r="74" spans="1:13" x14ac:dyDescent="0.35">
      <c r="A74" s="1" t="s">
        <v>153</v>
      </c>
      <c r="B74" s="1" t="s">
        <v>14</v>
      </c>
      <c r="C74" s="1" t="s">
        <v>15</v>
      </c>
      <c r="D74" s="1" t="s">
        <v>78</v>
      </c>
      <c r="E74" s="1" t="s">
        <v>79</v>
      </c>
      <c r="F74" s="1" t="s">
        <v>18</v>
      </c>
      <c r="G74" s="1">
        <v>19288</v>
      </c>
      <c r="H74" s="2">
        <v>46159</v>
      </c>
      <c r="I74" s="1" t="str">
        <f t="shared" si="4"/>
        <v>V001|Vendor 1</v>
      </c>
      <c r="J74" s="1" t="str">
        <f t="shared" si="4"/>
        <v>Vendor 1|MAT112</v>
      </c>
      <c r="K74" s="1" t="str">
        <f t="shared" si="5"/>
        <v>No Exception</v>
      </c>
      <c r="L74" s="1" t="str">
        <f t="shared" si="6"/>
        <v>No Exception</v>
      </c>
      <c r="M74" s="1" t="str">
        <f t="shared" si="7"/>
        <v>No Exception</v>
      </c>
    </row>
    <row r="75" spans="1:13" x14ac:dyDescent="0.35">
      <c r="A75" s="1" t="s">
        <v>154</v>
      </c>
      <c r="B75" s="1" t="s">
        <v>20</v>
      </c>
      <c r="C75" s="1" t="s">
        <v>21</v>
      </c>
      <c r="D75" s="1" t="s">
        <v>81</v>
      </c>
      <c r="E75" s="1" t="s">
        <v>82</v>
      </c>
      <c r="F75" s="1" t="s">
        <v>24</v>
      </c>
      <c r="G75" s="1">
        <v>20667</v>
      </c>
      <c r="H75" s="2">
        <v>46160</v>
      </c>
      <c r="I75" s="1" t="str">
        <f t="shared" si="4"/>
        <v>V002|Vendor 2</v>
      </c>
      <c r="J75" s="1" t="str">
        <f t="shared" si="4"/>
        <v>Vendor 2|MAT113</v>
      </c>
      <c r="K75" s="1" t="str">
        <f t="shared" si="5"/>
        <v>No Exception</v>
      </c>
      <c r="L75" s="1" t="str">
        <f t="shared" si="6"/>
        <v>No Exception</v>
      </c>
      <c r="M75" s="1" t="str">
        <f t="shared" si="7"/>
        <v>No Exception</v>
      </c>
    </row>
    <row r="76" spans="1:13" x14ac:dyDescent="0.35">
      <c r="A76" s="1" t="s">
        <v>155</v>
      </c>
      <c r="B76" s="1" t="s">
        <v>26</v>
      </c>
      <c r="C76" s="1" t="s">
        <v>27</v>
      </c>
      <c r="D76" s="1" t="s">
        <v>84</v>
      </c>
      <c r="E76" s="1" t="s">
        <v>85</v>
      </c>
      <c r="F76" s="1" t="s">
        <v>30</v>
      </c>
      <c r="G76" s="1">
        <v>22046</v>
      </c>
      <c r="H76" s="2">
        <v>46161</v>
      </c>
      <c r="I76" s="1" t="str">
        <f t="shared" si="4"/>
        <v>V003|Vendor 3</v>
      </c>
      <c r="J76" s="1" t="str">
        <f t="shared" si="4"/>
        <v>Vendor 3|MAT114</v>
      </c>
      <c r="K76" s="1" t="str">
        <f t="shared" si="5"/>
        <v>No Exception</v>
      </c>
      <c r="L76" s="1" t="str">
        <f t="shared" si="6"/>
        <v>No Exception</v>
      </c>
      <c r="M76" s="1" t="str">
        <f t="shared" si="7"/>
        <v>No Exception</v>
      </c>
    </row>
    <row r="77" spans="1:13" x14ac:dyDescent="0.35">
      <c r="A77" s="1" t="s">
        <v>156</v>
      </c>
      <c r="B77" s="1" t="s">
        <v>32</v>
      </c>
      <c r="C77" s="1" t="s">
        <v>33</v>
      </c>
      <c r="D77" s="1" t="s">
        <v>87</v>
      </c>
      <c r="E77" s="1" t="s">
        <v>88</v>
      </c>
      <c r="F77" s="1" t="s">
        <v>18</v>
      </c>
      <c r="G77" s="1">
        <v>23425</v>
      </c>
      <c r="H77" s="2">
        <v>46162</v>
      </c>
      <c r="I77" s="1" t="str">
        <f t="shared" si="4"/>
        <v>V004|Vendor 4</v>
      </c>
      <c r="J77" s="1" t="str">
        <f t="shared" si="4"/>
        <v>Vendor 4|MAT115</v>
      </c>
      <c r="K77" s="1" t="str">
        <f t="shared" si="5"/>
        <v>Exception</v>
      </c>
      <c r="L77" s="1" t="str">
        <f t="shared" si="6"/>
        <v>Exception</v>
      </c>
      <c r="M77" s="1" t="str">
        <f t="shared" si="7"/>
        <v>Scenario A + B</v>
      </c>
    </row>
    <row r="78" spans="1:13" x14ac:dyDescent="0.35">
      <c r="A78" s="1" t="s">
        <v>157</v>
      </c>
      <c r="B78" s="1" t="s">
        <v>37</v>
      </c>
      <c r="C78" s="1" t="s">
        <v>38</v>
      </c>
      <c r="D78" s="1" t="s">
        <v>90</v>
      </c>
      <c r="E78" s="1" t="s">
        <v>91</v>
      </c>
      <c r="F78" s="1" t="s">
        <v>41</v>
      </c>
      <c r="G78" s="1">
        <v>24804</v>
      </c>
      <c r="H78" s="2">
        <v>46163</v>
      </c>
      <c r="I78" s="1" t="str">
        <f t="shared" si="4"/>
        <v>V005|Vendor 5</v>
      </c>
      <c r="J78" s="1" t="str">
        <f t="shared" si="4"/>
        <v>Vendor 5|MAT116</v>
      </c>
      <c r="K78" s="1" t="str">
        <f t="shared" si="5"/>
        <v>No Exception</v>
      </c>
      <c r="L78" s="1" t="str">
        <f t="shared" si="6"/>
        <v>No Exception</v>
      </c>
      <c r="M78" s="1" t="str">
        <f t="shared" si="7"/>
        <v>No Exception</v>
      </c>
    </row>
    <row r="79" spans="1:13" x14ac:dyDescent="0.35">
      <c r="A79" s="1" t="s">
        <v>158</v>
      </c>
      <c r="B79" s="1" t="s">
        <v>43</v>
      </c>
      <c r="C79" s="1" t="s">
        <v>44</v>
      </c>
      <c r="D79" s="1" t="s">
        <v>93</v>
      </c>
      <c r="E79" s="1" t="s">
        <v>94</v>
      </c>
      <c r="F79" s="1" t="s">
        <v>24</v>
      </c>
      <c r="G79" s="1">
        <v>26183</v>
      </c>
      <c r="H79" s="2">
        <v>46164</v>
      </c>
      <c r="I79" s="1" t="str">
        <f t="shared" si="4"/>
        <v>V006|Vendor 6</v>
      </c>
      <c r="J79" s="1" t="str">
        <f t="shared" si="4"/>
        <v>Vendor 6|MAT117</v>
      </c>
      <c r="K79" s="1" t="str">
        <f t="shared" si="5"/>
        <v>No Exception</v>
      </c>
      <c r="L79" s="1" t="str">
        <f t="shared" si="6"/>
        <v>No Exception</v>
      </c>
      <c r="M79" s="1" t="str">
        <f t="shared" si="7"/>
        <v>No Exception</v>
      </c>
    </row>
    <row r="80" spans="1:13" x14ac:dyDescent="0.35">
      <c r="A80" s="1" t="s">
        <v>159</v>
      </c>
      <c r="B80" s="1" t="s">
        <v>48</v>
      </c>
      <c r="C80" s="1" t="s">
        <v>49</v>
      </c>
      <c r="D80" s="1" t="s">
        <v>96</v>
      </c>
      <c r="E80" s="1" t="s">
        <v>97</v>
      </c>
      <c r="F80" s="1" t="s">
        <v>18</v>
      </c>
      <c r="G80" s="1">
        <v>27562</v>
      </c>
      <c r="H80" s="2">
        <v>46165</v>
      </c>
      <c r="I80" s="1" t="str">
        <f t="shared" si="4"/>
        <v>V007|Vendor 7</v>
      </c>
      <c r="J80" s="1" t="str">
        <f t="shared" si="4"/>
        <v>Vendor 7|MAT118</v>
      </c>
      <c r="K80" s="1" t="str">
        <f t="shared" si="5"/>
        <v>Exception</v>
      </c>
      <c r="L80" s="1" t="str">
        <f t="shared" si="6"/>
        <v>Exception</v>
      </c>
      <c r="M80" s="1" t="str">
        <f t="shared" si="7"/>
        <v>Scenario A + B</v>
      </c>
    </row>
    <row r="81" spans="1:13" x14ac:dyDescent="0.35">
      <c r="A81" s="1" t="s">
        <v>160</v>
      </c>
      <c r="B81" s="1" t="s">
        <v>53</v>
      </c>
      <c r="C81" s="1" t="s">
        <v>54</v>
      </c>
      <c r="D81" s="1" t="s">
        <v>99</v>
      </c>
      <c r="E81" s="1" t="s">
        <v>100</v>
      </c>
      <c r="F81" s="1" t="s">
        <v>41</v>
      </c>
      <c r="G81" s="1">
        <v>28941</v>
      </c>
      <c r="H81" s="2">
        <v>46166</v>
      </c>
      <c r="I81" s="1" t="str">
        <f t="shared" si="4"/>
        <v>V008|Vendor 8</v>
      </c>
      <c r="J81" s="1" t="str">
        <f t="shared" si="4"/>
        <v>Vendor 8|MAT119</v>
      </c>
      <c r="K81" s="1" t="str">
        <f t="shared" si="5"/>
        <v>No Exception</v>
      </c>
      <c r="L81" s="1" t="str">
        <f t="shared" si="6"/>
        <v>No Exception</v>
      </c>
      <c r="M81" s="1" t="str">
        <f t="shared" si="7"/>
        <v>No Exception</v>
      </c>
    </row>
    <row r="82" spans="1:13" x14ac:dyDescent="0.35">
      <c r="A82" s="1" t="s">
        <v>161</v>
      </c>
      <c r="B82" s="1" t="s">
        <v>58</v>
      </c>
      <c r="C82" s="1" t="s">
        <v>59</v>
      </c>
      <c r="D82" s="1" t="s">
        <v>16</v>
      </c>
      <c r="E82" s="1" t="s">
        <v>17</v>
      </c>
      <c r="F82" s="1" t="s">
        <v>30</v>
      </c>
      <c r="G82" s="1">
        <v>30320</v>
      </c>
      <c r="H82" s="2">
        <v>46167</v>
      </c>
      <c r="I82" s="1" t="str">
        <f t="shared" si="4"/>
        <v>V009|Vendor 9</v>
      </c>
      <c r="J82" s="1" t="str">
        <f t="shared" si="4"/>
        <v>Vendor 9|MAT100</v>
      </c>
      <c r="K82" s="1" t="str">
        <f t="shared" si="5"/>
        <v>No Exception</v>
      </c>
      <c r="L82" s="1" t="str">
        <f t="shared" si="6"/>
        <v>No Exception</v>
      </c>
      <c r="M82" s="1" t="str">
        <f t="shared" si="7"/>
        <v>No Exception</v>
      </c>
    </row>
    <row r="83" spans="1:13" x14ac:dyDescent="0.35">
      <c r="A83" s="1" t="s">
        <v>162</v>
      </c>
      <c r="B83" s="1" t="s">
        <v>63</v>
      </c>
      <c r="C83" s="1" t="s">
        <v>64</v>
      </c>
      <c r="D83" s="1" t="s">
        <v>22</v>
      </c>
      <c r="E83" s="1" t="s">
        <v>23</v>
      </c>
      <c r="F83" s="1" t="s">
        <v>18</v>
      </c>
      <c r="G83" s="1">
        <v>31699</v>
      </c>
      <c r="H83" s="2">
        <v>46168</v>
      </c>
      <c r="I83" s="1" t="str">
        <f t="shared" si="4"/>
        <v>V010|Vendor 10</v>
      </c>
      <c r="J83" s="1" t="str">
        <f t="shared" si="4"/>
        <v>Vendor 10|MAT101</v>
      </c>
      <c r="K83" s="1" t="str">
        <f t="shared" si="5"/>
        <v>Exception</v>
      </c>
      <c r="L83" s="1" t="str">
        <f t="shared" si="6"/>
        <v>Exception</v>
      </c>
      <c r="M83" s="1" t="str">
        <f t="shared" si="7"/>
        <v>Scenario A + B</v>
      </c>
    </row>
    <row r="84" spans="1:13" x14ac:dyDescent="0.35">
      <c r="A84" s="1" t="s">
        <v>163</v>
      </c>
      <c r="B84" s="1" t="s">
        <v>68</v>
      </c>
      <c r="C84" s="1" t="s">
        <v>69</v>
      </c>
      <c r="D84" s="1" t="s">
        <v>28</v>
      </c>
      <c r="E84" s="1" t="s">
        <v>29</v>
      </c>
      <c r="F84" s="1" t="s">
        <v>30</v>
      </c>
      <c r="G84" s="1">
        <v>33078</v>
      </c>
      <c r="H84" s="2">
        <v>46169</v>
      </c>
      <c r="I84" s="1" t="str">
        <f t="shared" si="4"/>
        <v>V011|Vendor 11</v>
      </c>
      <c r="J84" s="1" t="str">
        <f t="shared" si="4"/>
        <v>Vendor 11|MAT102</v>
      </c>
      <c r="K84" s="1" t="str">
        <f t="shared" si="5"/>
        <v>Exception</v>
      </c>
      <c r="L84" s="1" t="str">
        <f t="shared" si="6"/>
        <v>Exception</v>
      </c>
      <c r="M84" s="1" t="str">
        <f t="shared" si="7"/>
        <v>Scenario A + B</v>
      </c>
    </row>
    <row r="85" spans="1:13" x14ac:dyDescent="0.35">
      <c r="A85" s="1" t="s">
        <v>164</v>
      </c>
      <c r="B85" s="1" t="s">
        <v>73</v>
      </c>
      <c r="C85" s="1" t="s">
        <v>74</v>
      </c>
      <c r="D85" s="1" t="s">
        <v>34</v>
      </c>
      <c r="E85" s="1" t="s">
        <v>35</v>
      </c>
      <c r="F85" s="1" t="s">
        <v>18</v>
      </c>
      <c r="G85" s="1">
        <v>34457</v>
      </c>
      <c r="H85" s="2">
        <v>46170</v>
      </c>
      <c r="I85" s="1" t="str">
        <f t="shared" si="4"/>
        <v>V012|Vendor 12</v>
      </c>
      <c r="J85" s="1" t="str">
        <f t="shared" si="4"/>
        <v>Vendor 12|MAT103</v>
      </c>
      <c r="K85" s="1" t="str">
        <f t="shared" si="5"/>
        <v>No Exception</v>
      </c>
      <c r="L85" s="1" t="str">
        <f t="shared" si="6"/>
        <v>No Exception</v>
      </c>
      <c r="M85" s="1" t="str">
        <f t="shared" si="7"/>
        <v>No Exception</v>
      </c>
    </row>
    <row r="86" spans="1:13" x14ac:dyDescent="0.35">
      <c r="A86" s="1" t="s">
        <v>165</v>
      </c>
      <c r="B86" s="1" t="s">
        <v>14</v>
      </c>
      <c r="C86" s="1" t="s">
        <v>15</v>
      </c>
      <c r="D86" s="1" t="s">
        <v>39</v>
      </c>
      <c r="E86" s="1" t="s">
        <v>40</v>
      </c>
      <c r="F86" s="1" t="s">
        <v>18</v>
      </c>
      <c r="G86" s="1">
        <v>35836</v>
      </c>
      <c r="H86" s="2">
        <v>46143</v>
      </c>
      <c r="I86" s="1" t="str">
        <f t="shared" si="4"/>
        <v>V001|Vendor 1</v>
      </c>
      <c r="J86" s="1" t="str">
        <f t="shared" si="4"/>
        <v>Vendor 1|MAT104</v>
      </c>
      <c r="K86" s="1" t="str">
        <f t="shared" si="5"/>
        <v>No Exception</v>
      </c>
      <c r="L86" s="1" t="str">
        <f t="shared" si="6"/>
        <v>No Exception</v>
      </c>
      <c r="M86" s="1" t="str">
        <f t="shared" si="7"/>
        <v>No Exception</v>
      </c>
    </row>
    <row r="87" spans="1:13" x14ac:dyDescent="0.35">
      <c r="A87" s="1" t="s">
        <v>166</v>
      </c>
      <c r="B87" s="1" t="s">
        <v>20</v>
      </c>
      <c r="C87" s="1" t="s">
        <v>21</v>
      </c>
      <c r="D87" s="1" t="s">
        <v>45</v>
      </c>
      <c r="E87" s="1" t="s">
        <v>46</v>
      </c>
      <c r="F87" s="1" t="s">
        <v>24</v>
      </c>
      <c r="G87" s="1">
        <v>37215</v>
      </c>
      <c r="H87" s="2">
        <v>46144</v>
      </c>
      <c r="I87" s="1" t="str">
        <f t="shared" si="4"/>
        <v>V002|Vendor 2</v>
      </c>
      <c r="J87" s="1" t="str">
        <f t="shared" si="4"/>
        <v>Vendor 2|MAT105</v>
      </c>
      <c r="K87" s="1" t="str">
        <f t="shared" si="5"/>
        <v>No Exception</v>
      </c>
      <c r="L87" s="1" t="str">
        <f t="shared" si="6"/>
        <v>No Exception</v>
      </c>
      <c r="M87" s="1" t="str">
        <f t="shared" si="7"/>
        <v>No Exception</v>
      </c>
    </row>
    <row r="88" spans="1:13" x14ac:dyDescent="0.35">
      <c r="A88" s="1" t="s">
        <v>167</v>
      </c>
      <c r="B88" s="1" t="s">
        <v>26</v>
      </c>
      <c r="C88" s="1" t="s">
        <v>27</v>
      </c>
      <c r="D88" s="1" t="s">
        <v>50</v>
      </c>
      <c r="E88" s="1" t="s">
        <v>51</v>
      </c>
      <c r="F88" s="1" t="s">
        <v>30</v>
      </c>
      <c r="G88" s="1">
        <v>38594</v>
      </c>
      <c r="H88" s="2">
        <v>46145</v>
      </c>
      <c r="I88" s="1" t="str">
        <f t="shared" si="4"/>
        <v>V003|Vendor 3</v>
      </c>
      <c r="J88" s="1" t="str">
        <f t="shared" si="4"/>
        <v>Vendor 3|MAT106</v>
      </c>
      <c r="K88" s="1" t="str">
        <f t="shared" si="5"/>
        <v>No Exception</v>
      </c>
      <c r="L88" s="1" t="str">
        <f t="shared" si="6"/>
        <v>No Exception</v>
      </c>
      <c r="M88" s="1" t="str">
        <f t="shared" si="7"/>
        <v>No Exception</v>
      </c>
    </row>
    <row r="89" spans="1:13" x14ac:dyDescent="0.35">
      <c r="A89" s="1" t="s">
        <v>168</v>
      </c>
      <c r="B89" s="1" t="s">
        <v>32</v>
      </c>
      <c r="C89" s="1" t="s">
        <v>33</v>
      </c>
      <c r="D89" s="1" t="s">
        <v>55</v>
      </c>
      <c r="E89" s="1" t="s">
        <v>56</v>
      </c>
      <c r="F89" s="1" t="s">
        <v>30</v>
      </c>
      <c r="G89" s="1">
        <v>39973</v>
      </c>
      <c r="H89" s="2">
        <v>46146</v>
      </c>
      <c r="I89" s="1" t="str">
        <f t="shared" si="4"/>
        <v>V004|Vendor 4</v>
      </c>
      <c r="J89" s="1" t="str">
        <f t="shared" si="4"/>
        <v>Vendor 4|MAT107</v>
      </c>
      <c r="K89" s="1" t="str">
        <f t="shared" si="5"/>
        <v>Exception</v>
      </c>
      <c r="L89" s="1" t="str">
        <f t="shared" si="6"/>
        <v>Exception</v>
      </c>
      <c r="M89" s="1" t="str">
        <f t="shared" si="7"/>
        <v>Scenario A + B</v>
      </c>
    </row>
    <row r="90" spans="1:13" x14ac:dyDescent="0.35">
      <c r="A90" s="1" t="s">
        <v>169</v>
      </c>
      <c r="B90" s="1" t="s">
        <v>37</v>
      </c>
      <c r="C90" s="1" t="s">
        <v>38</v>
      </c>
      <c r="D90" s="1" t="s">
        <v>60</v>
      </c>
      <c r="E90" s="1" t="s">
        <v>61</v>
      </c>
      <c r="F90" s="1" t="s">
        <v>41</v>
      </c>
      <c r="G90" s="1">
        <v>41352</v>
      </c>
      <c r="H90" s="2">
        <v>46147</v>
      </c>
      <c r="I90" s="1" t="str">
        <f t="shared" si="4"/>
        <v>V005|Vendor 5</v>
      </c>
      <c r="J90" s="1" t="str">
        <f t="shared" si="4"/>
        <v>Vendor 5|MAT108</v>
      </c>
      <c r="K90" s="1" t="str">
        <f t="shared" si="5"/>
        <v>No Exception</v>
      </c>
      <c r="L90" s="1" t="str">
        <f t="shared" si="6"/>
        <v>No Exception</v>
      </c>
      <c r="M90" s="1" t="str">
        <f t="shared" si="7"/>
        <v>No Exception</v>
      </c>
    </row>
    <row r="91" spans="1:13" x14ac:dyDescent="0.35">
      <c r="A91" s="1" t="s">
        <v>170</v>
      </c>
      <c r="B91" s="1" t="s">
        <v>43</v>
      </c>
      <c r="C91" s="1" t="s">
        <v>44</v>
      </c>
      <c r="D91" s="1" t="s">
        <v>65</v>
      </c>
      <c r="E91" s="1" t="s">
        <v>66</v>
      </c>
      <c r="F91" s="1" t="s">
        <v>24</v>
      </c>
      <c r="G91" s="1">
        <v>42731</v>
      </c>
      <c r="H91" s="2">
        <v>46148</v>
      </c>
      <c r="I91" s="1" t="str">
        <f t="shared" si="4"/>
        <v>V006|Vendor 6</v>
      </c>
      <c r="J91" s="1" t="str">
        <f t="shared" si="4"/>
        <v>Vendor 6|MAT109</v>
      </c>
      <c r="K91" s="1" t="str">
        <f t="shared" si="5"/>
        <v>No Exception</v>
      </c>
      <c r="L91" s="1" t="str">
        <f t="shared" si="6"/>
        <v>No Exception</v>
      </c>
      <c r="M91" s="1" t="str">
        <f t="shared" si="7"/>
        <v>No Exception</v>
      </c>
    </row>
    <row r="92" spans="1:13" x14ac:dyDescent="0.35">
      <c r="A92" s="1" t="s">
        <v>171</v>
      </c>
      <c r="B92" s="1" t="s">
        <v>48</v>
      </c>
      <c r="C92" s="1" t="s">
        <v>49</v>
      </c>
      <c r="D92" s="1" t="s">
        <v>70</v>
      </c>
      <c r="E92" s="1" t="s">
        <v>71</v>
      </c>
      <c r="F92" s="1" t="s">
        <v>24</v>
      </c>
      <c r="G92" s="1">
        <v>44110</v>
      </c>
      <c r="H92" s="2">
        <v>46149</v>
      </c>
      <c r="I92" s="1" t="str">
        <f t="shared" si="4"/>
        <v>V007|Vendor 7</v>
      </c>
      <c r="J92" s="1" t="str">
        <f t="shared" si="4"/>
        <v>Vendor 7|MAT110</v>
      </c>
      <c r="K92" s="1" t="str">
        <f t="shared" si="5"/>
        <v>Exception</v>
      </c>
      <c r="L92" s="1" t="str">
        <f t="shared" si="6"/>
        <v>Exception</v>
      </c>
      <c r="M92" s="1" t="str">
        <f t="shared" si="7"/>
        <v>Scenario A + B</v>
      </c>
    </row>
    <row r="93" spans="1:13" x14ac:dyDescent="0.35">
      <c r="A93" s="1" t="s">
        <v>172</v>
      </c>
      <c r="B93" s="1" t="s">
        <v>53</v>
      </c>
      <c r="C93" s="1" t="s">
        <v>54</v>
      </c>
      <c r="D93" s="1" t="s">
        <v>75</v>
      </c>
      <c r="E93" s="1" t="s">
        <v>76</v>
      </c>
      <c r="F93" s="1" t="s">
        <v>41</v>
      </c>
      <c r="G93" s="1">
        <v>45489</v>
      </c>
      <c r="H93" s="2">
        <v>46150</v>
      </c>
      <c r="I93" s="1" t="str">
        <f t="shared" si="4"/>
        <v>V008|Vendor 8</v>
      </c>
      <c r="J93" s="1" t="str">
        <f t="shared" si="4"/>
        <v>Vendor 8|MAT111</v>
      </c>
      <c r="K93" s="1" t="str">
        <f t="shared" si="5"/>
        <v>No Exception</v>
      </c>
      <c r="L93" s="1" t="str">
        <f t="shared" si="6"/>
        <v>No Exception</v>
      </c>
      <c r="M93" s="1" t="str">
        <f t="shared" si="7"/>
        <v>No Exception</v>
      </c>
    </row>
    <row r="94" spans="1:13" x14ac:dyDescent="0.35">
      <c r="A94" s="1" t="s">
        <v>173</v>
      </c>
      <c r="B94" s="1" t="s">
        <v>58</v>
      </c>
      <c r="C94" s="1" t="s">
        <v>59</v>
      </c>
      <c r="D94" s="1" t="s">
        <v>78</v>
      </c>
      <c r="E94" s="1" t="s">
        <v>79</v>
      </c>
      <c r="F94" s="1" t="s">
        <v>30</v>
      </c>
      <c r="G94" s="1">
        <v>46868</v>
      </c>
      <c r="H94" s="2">
        <v>46151</v>
      </c>
      <c r="I94" s="1" t="str">
        <f t="shared" si="4"/>
        <v>V009|Vendor 9</v>
      </c>
      <c r="J94" s="1" t="str">
        <f t="shared" si="4"/>
        <v>Vendor 9|MAT112</v>
      </c>
      <c r="K94" s="1" t="str">
        <f t="shared" si="5"/>
        <v>No Exception</v>
      </c>
      <c r="L94" s="1" t="str">
        <f t="shared" si="6"/>
        <v>No Exception</v>
      </c>
      <c r="M94" s="1" t="str">
        <f t="shared" si="7"/>
        <v>No Exception</v>
      </c>
    </row>
    <row r="95" spans="1:13" x14ac:dyDescent="0.35">
      <c r="A95" s="1" t="s">
        <v>174</v>
      </c>
      <c r="B95" s="1" t="s">
        <v>63</v>
      </c>
      <c r="C95" s="1" t="s">
        <v>64</v>
      </c>
      <c r="D95" s="1" t="s">
        <v>81</v>
      </c>
      <c r="E95" s="1" t="s">
        <v>82</v>
      </c>
      <c r="F95" s="1" t="s">
        <v>30</v>
      </c>
      <c r="G95" s="1">
        <v>48247</v>
      </c>
      <c r="H95" s="2">
        <v>46152</v>
      </c>
      <c r="I95" s="1" t="str">
        <f t="shared" si="4"/>
        <v>V010|Vendor 10</v>
      </c>
      <c r="J95" s="1" t="str">
        <f t="shared" si="4"/>
        <v>Vendor 10|MAT113</v>
      </c>
      <c r="K95" s="1" t="str">
        <f t="shared" si="5"/>
        <v>Exception</v>
      </c>
      <c r="L95" s="1" t="str">
        <f t="shared" si="6"/>
        <v>Exception</v>
      </c>
      <c r="M95" s="1" t="str">
        <f t="shared" si="7"/>
        <v>Scenario A + B</v>
      </c>
    </row>
    <row r="96" spans="1:13" x14ac:dyDescent="0.35">
      <c r="A96" s="1" t="s">
        <v>175</v>
      </c>
      <c r="B96" s="1" t="s">
        <v>68</v>
      </c>
      <c r="C96" s="1" t="s">
        <v>69</v>
      </c>
      <c r="D96" s="1" t="s">
        <v>84</v>
      </c>
      <c r="E96" s="1" t="s">
        <v>85</v>
      </c>
      <c r="F96" s="1" t="s">
        <v>24</v>
      </c>
      <c r="G96" s="1">
        <v>49626</v>
      </c>
      <c r="H96" s="2">
        <v>46153</v>
      </c>
      <c r="I96" s="1" t="str">
        <f t="shared" si="4"/>
        <v>V011|Vendor 11</v>
      </c>
      <c r="J96" s="1" t="str">
        <f t="shared" si="4"/>
        <v>Vendor 11|MAT114</v>
      </c>
      <c r="K96" s="1" t="str">
        <f t="shared" si="5"/>
        <v>Exception</v>
      </c>
      <c r="L96" s="1" t="str">
        <f t="shared" si="6"/>
        <v>Exception</v>
      </c>
      <c r="M96" s="1" t="str">
        <f t="shared" si="7"/>
        <v>Scenario A + B</v>
      </c>
    </row>
    <row r="97" spans="1:13" x14ac:dyDescent="0.35">
      <c r="A97" s="1" t="s">
        <v>176</v>
      </c>
      <c r="B97" s="1" t="s">
        <v>73</v>
      </c>
      <c r="C97" s="1" t="s">
        <v>74</v>
      </c>
      <c r="D97" s="1" t="s">
        <v>87</v>
      </c>
      <c r="E97" s="1" t="s">
        <v>88</v>
      </c>
      <c r="F97" s="1" t="s">
        <v>18</v>
      </c>
      <c r="G97" s="1">
        <v>51005</v>
      </c>
      <c r="H97" s="2">
        <v>46154</v>
      </c>
      <c r="I97" s="1" t="str">
        <f t="shared" si="4"/>
        <v>V012|Vendor 12</v>
      </c>
      <c r="J97" s="1" t="str">
        <f t="shared" si="4"/>
        <v>Vendor 12|MAT115</v>
      </c>
      <c r="K97" s="1" t="str">
        <f t="shared" si="5"/>
        <v>No Exception</v>
      </c>
      <c r="L97" s="1" t="str">
        <f t="shared" si="6"/>
        <v>No Exception</v>
      </c>
      <c r="M97" s="1" t="str">
        <f t="shared" si="7"/>
        <v>No Exception</v>
      </c>
    </row>
    <row r="98" spans="1:13" x14ac:dyDescent="0.35">
      <c r="A98" s="1" t="s">
        <v>177</v>
      </c>
      <c r="B98" s="1" t="s">
        <v>14</v>
      </c>
      <c r="C98" s="1" t="s">
        <v>15</v>
      </c>
      <c r="D98" s="1" t="s">
        <v>90</v>
      </c>
      <c r="E98" s="1" t="s">
        <v>91</v>
      </c>
      <c r="F98" s="1" t="s">
        <v>18</v>
      </c>
      <c r="G98" s="1">
        <v>52384</v>
      </c>
      <c r="H98" s="2">
        <v>46155</v>
      </c>
      <c r="I98" s="1" t="str">
        <f t="shared" si="4"/>
        <v>V001|Vendor 1</v>
      </c>
      <c r="J98" s="1" t="str">
        <f t="shared" si="4"/>
        <v>Vendor 1|MAT116</v>
      </c>
      <c r="K98" s="1" t="str">
        <f t="shared" si="5"/>
        <v>No Exception</v>
      </c>
      <c r="L98" s="1" t="str">
        <f t="shared" si="6"/>
        <v>No Exception</v>
      </c>
      <c r="M98" s="1" t="str">
        <f t="shared" si="7"/>
        <v>No Exception</v>
      </c>
    </row>
    <row r="99" spans="1:13" x14ac:dyDescent="0.35">
      <c r="A99" s="1" t="s">
        <v>178</v>
      </c>
      <c r="B99" s="1" t="s">
        <v>20</v>
      </c>
      <c r="C99" s="1" t="s">
        <v>21</v>
      </c>
      <c r="D99" s="1" t="s">
        <v>93</v>
      </c>
      <c r="E99" s="1" t="s">
        <v>94</v>
      </c>
      <c r="F99" s="1" t="s">
        <v>24</v>
      </c>
      <c r="G99" s="1">
        <v>53763</v>
      </c>
      <c r="H99" s="2">
        <v>46156</v>
      </c>
      <c r="I99" s="1" t="str">
        <f t="shared" si="4"/>
        <v>V002|Vendor 2</v>
      </c>
      <c r="J99" s="1" t="str">
        <f t="shared" si="4"/>
        <v>Vendor 2|MAT117</v>
      </c>
      <c r="K99" s="1" t="str">
        <f t="shared" si="5"/>
        <v>No Exception</v>
      </c>
      <c r="L99" s="1" t="str">
        <f t="shared" si="6"/>
        <v>No Exception</v>
      </c>
      <c r="M99" s="1" t="str">
        <f t="shared" si="7"/>
        <v>No Exception</v>
      </c>
    </row>
    <row r="100" spans="1:13" x14ac:dyDescent="0.35">
      <c r="A100" s="1" t="s">
        <v>179</v>
      </c>
      <c r="B100" s="1" t="s">
        <v>26</v>
      </c>
      <c r="C100" s="1" t="s">
        <v>27</v>
      </c>
      <c r="D100" s="1" t="s">
        <v>96</v>
      </c>
      <c r="E100" s="1" t="s">
        <v>97</v>
      </c>
      <c r="F100" s="1" t="s">
        <v>30</v>
      </c>
      <c r="G100" s="1">
        <v>55142</v>
      </c>
      <c r="H100" s="2">
        <v>46157</v>
      </c>
      <c r="I100" s="1" t="str">
        <f t="shared" si="4"/>
        <v>V003|Vendor 3</v>
      </c>
      <c r="J100" s="1" t="str">
        <f t="shared" si="4"/>
        <v>Vendor 3|MAT118</v>
      </c>
      <c r="K100" s="1" t="str">
        <f t="shared" si="5"/>
        <v>No Exception</v>
      </c>
      <c r="L100" s="1" t="str">
        <f t="shared" si="6"/>
        <v>No Exception</v>
      </c>
      <c r="M100" s="1" t="str">
        <f t="shared" si="7"/>
        <v>No Exception</v>
      </c>
    </row>
    <row r="101" spans="1:13" x14ac:dyDescent="0.35">
      <c r="A101" s="1" t="s">
        <v>180</v>
      </c>
      <c r="B101" s="1" t="s">
        <v>32</v>
      </c>
      <c r="C101" s="1" t="s">
        <v>33</v>
      </c>
      <c r="D101" s="1" t="s">
        <v>99</v>
      </c>
      <c r="E101" s="1" t="s">
        <v>100</v>
      </c>
      <c r="F101" s="1" t="s">
        <v>41</v>
      </c>
      <c r="G101" s="1">
        <v>56521</v>
      </c>
      <c r="H101" s="2">
        <v>46158</v>
      </c>
      <c r="I101" s="1" t="str">
        <f t="shared" si="4"/>
        <v>V004|Vendor 4</v>
      </c>
      <c r="J101" s="1" t="str">
        <f t="shared" si="4"/>
        <v>Vendor 4|MAT119</v>
      </c>
      <c r="K101" s="1" t="str">
        <f t="shared" si="5"/>
        <v>Exception</v>
      </c>
      <c r="L101" s="1" t="str">
        <f t="shared" si="6"/>
        <v>Exception</v>
      </c>
      <c r="M101" s="1" t="str">
        <f t="shared" si="7"/>
        <v>Scenario A + B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P2P Scenario 3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Jain</dc:creator>
  <cp:lastModifiedBy>Khushi Jain</cp:lastModifiedBy>
  <dcterms:created xsi:type="dcterms:W3CDTF">2026-07-04T18:39:52Z</dcterms:created>
  <dcterms:modified xsi:type="dcterms:W3CDTF">2026-07-04T18:40:37Z</dcterms:modified>
</cp:coreProperties>
</file>