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Datasets/"/>
    </mc:Choice>
  </mc:AlternateContent>
  <xr:revisionPtr revIDLastSave="0" documentId="8_{50AE76D2-3B5E-4FFA-A3FE-EE3C5994362E}" xr6:coauthVersionLast="47" xr6:coauthVersionMax="47" xr10:uidLastSave="{00000000-0000-0000-0000-000000000000}"/>
  <bookViews>
    <workbookView xWindow="-110" yWindow="-110" windowWidth="19420" windowHeight="11500" xr2:uid="{9928877B-2491-4A7E-9CF8-0F5B0A8F3DF6}"/>
  </bookViews>
  <sheets>
    <sheet name="Scenario 5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1" i="1" l="1"/>
  <c r="J101" i="1"/>
  <c r="M101" i="1" s="1"/>
  <c r="I101" i="1"/>
  <c r="H101" i="1"/>
  <c r="G101" i="1"/>
  <c r="J100" i="1"/>
  <c r="M100" i="1" s="1"/>
  <c r="I100" i="1"/>
  <c r="H100" i="1"/>
  <c r="G100" i="1"/>
  <c r="K99" i="1"/>
  <c r="J99" i="1"/>
  <c r="M99" i="1" s="1"/>
  <c r="I99" i="1"/>
  <c r="H99" i="1"/>
  <c r="G99" i="1"/>
  <c r="J98" i="1"/>
  <c r="M98" i="1" s="1"/>
  <c r="I98" i="1"/>
  <c r="K98" i="1" s="1"/>
  <c r="H98" i="1"/>
  <c r="G98" i="1"/>
  <c r="J97" i="1"/>
  <c r="M97" i="1" s="1"/>
  <c r="I97" i="1"/>
  <c r="K97" i="1" s="1"/>
  <c r="H97" i="1"/>
  <c r="G97" i="1"/>
  <c r="M96" i="1"/>
  <c r="K96" i="1"/>
  <c r="J96" i="1"/>
  <c r="I96" i="1"/>
  <c r="H96" i="1"/>
  <c r="G96" i="1"/>
  <c r="J95" i="1"/>
  <c r="M95" i="1" s="1"/>
  <c r="I95" i="1"/>
  <c r="H95" i="1"/>
  <c r="G95" i="1"/>
  <c r="J94" i="1"/>
  <c r="M94" i="1" s="1"/>
  <c r="I94" i="1"/>
  <c r="K94" i="1" s="1"/>
  <c r="H94" i="1"/>
  <c r="G94" i="1"/>
  <c r="J93" i="1"/>
  <c r="M93" i="1" s="1"/>
  <c r="I93" i="1"/>
  <c r="H93" i="1"/>
  <c r="G93" i="1"/>
  <c r="J92" i="1"/>
  <c r="M92" i="1" s="1"/>
  <c r="I92" i="1"/>
  <c r="H92" i="1"/>
  <c r="G92" i="1"/>
  <c r="M91" i="1"/>
  <c r="J91" i="1"/>
  <c r="I91" i="1"/>
  <c r="K91" i="1" s="1"/>
  <c r="H91" i="1"/>
  <c r="G91" i="1"/>
  <c r="J90" i="1"/>
  <c r="M90" i="1" s="1"/>
  <c r="I90" i="1"/>
  <c r="K90" i="1" s="1"/>
  <c r="H90" i="1"/>
  <c r="G90" i="1"/>
  <c r="J89" i="1"/>
  <c r="M89" i="1" s="1"/>
  <c r="I89" i="1"/>
  <c r="H89" i="1"/>
  <c r="G89" i="1"/>
  <c r="J88" i="1"/>
  <c r="M88" i="1" s="1"/>
  <c r="I88" i="1"/>
  <c r="H88" i="1"/>
  <c r="G88" i="1"/>
  <c r="J87" i="1"/>
  <c r="M87" i="1" s="1"/>
  <c r="I87" i="1"/>
  <c r="K87" i="1" s="1"/>
  <c r="H87" i="1"/>
  <c r="G87" i="1"/>
  <c r="M86" i="1"/>
  <c r="K86" i="1"/>
  <c r="J86" i="1"/>
  <c r="I86" i="1"/>
  <c r="H86" i="1"/>
  <c r="G86" i="1"/>
  <c r="J85" i="1"/>
  <c r="M85" i="1" s="1"/>
  <c r="I85" i="1"/>
  <c r="H85" i="1"/>
  <c r="G85" i="1"/>
  <c r="J84" i="1"/>
  <c r="M84" i="1" s="1"/>
  <c r="I84" i="1"/>
  <c r="H84" i="1"/>
  <c r="G84" i="1"/>
  <c r="J83" i="1"/>
  <c r="M83" i="1" s="1"/>
  <c r="I83" i="1"/>
  <c r="H83" i="1"/>
  <c r="G83" i="1"/>
  <c r="J82" i="1"/>
  <c r="M82" i="1" s="1"/>
  <c r="I82" i="1"/>
  <c r="H82" i="1"/>
  <c r="G82" i="1"/>
  <c r="L81" i="1"/>
  <c r="J81" i="1"/>
  <c r="M81" i="1" s="1"/>
  <c r="I81" i="1"/>
  <c r="H81" i="1"/>
  <c r="G81" i="1"/>
  <c r="J80" i="1"/>
  <c r="M80" i="1" s="1"/>
  <c r="I80" i="1"/>
  <c r="H80" i="1"/>
  <c r="G80" i="1"/>
  <c r="J79" i="1"/>
  <c r="M79" i="1" s="1"/>
  <c r="I79" i="1"/>
  <c r="H79" i="1"/>
  <c r="G79" i="1"/>
  <c r="M78" i="1"/>
  <c r="J78" i="1"/>
  <c r="I78" i="1"/>
  <c r="L78" i="1" s="1"/>
  <c r="H78" i="1"/>
  <c r="G78" i="1"/>
  <c r="J77" i="1"/>
  <c r="M77" i="1" s="1"/>
  <c r="I77" i="1"/>
  <c r="L77" i="1" s="1"/>
  <c r="H77" i="1"/>
  <c r="G77" i="1"/>
  <c r="J76" i="1"/>
  <c r="M76" i="1" s="1"/>
  <c r="I76" i="1"/>
  <c r="L76" i="1" s="1"/>
  <c r="H76" i="1"/>
  <c r="G76" i="1"/>
  <c r="J75" i="1"/>
  <c r="M75" i="1" s="1"/>
  <c r="I75" i="1"/>
  <c r="L75" i="1" s="1"/>
  <c r="H75" i="1"/>
  <c r="G75" i="1"/>
  <c r="J74" i="1"/>
  <c r="M74" i="1" s="1"/>
  <c r="I74" i="1"/>
  <c r="L74" i="1" s="1"/>
  <c r="H74" i="1"/>
  <c r="G74" i="1"/>
  <c r="M73" i="1"/>
  <c r="L73" i="1"/>
  <c r="J73" i="1"/>
  <c r="I73" i="1"/>
  <c r="H73" i="1"/>
  <c r="G73" i="1"/>
  <c r="J72" i="1"/>
  <c r="M72" i="1" s="1"/>
  <c r="I72" i="1"/>
  <c r="L72" i="1" s="1"/>
  <c r="H72" i="1"/>
  <c r="G72" i="1"/>
  <c r="J71" i="1"/>
  <c r="M71" i="1" s="1"/>
  <c r="I71" i="1"/>
  <c r="H71" i="1"/>
  <c r="G71" i="1"/>
  <c r="J70" i="1"/>
  <c r="M70" i="1" s="1"/>
  <c r="I70" i="1"/>
  <c r="L70" i="1" s="1"/>
  <c r="H70" i="1"/>
  <c r="G70" i="1"/>
  <c r="J69" i="1"/>
  <c r="M69" i="1" s="1"/>
  <c r="I69" i="1"/>
  <c r="L69" i="1" s="1"/>
  <c r="H69" i="1"/>
  <c r="G69" i="1"/>
  <c r="M68" i="1"/>
  <c r="L68" i="1"/>
  <c r="J68" i="1"/>
  <c r="I68" i="1"/>
  <c r="H68" i="1"/>
  <c r="G68" i="1"/>
  <c r="J67" i="1"/>
  <c r="M67" i="1" s="1"/>
  <c r="I67" i="1"/>
  <c r="L67" i="1" s="1"/>
  <c r="H67" i="1"/>
  <c r="G67" i="1"/>
  <c r="J66" i="1"/>
  <c r="M66" i="1" s="1"/>
  <c r="I66" i="1"/>
  <c r="H66" i="1"/>
  <c r="G66" i="1"/>
  <c r="J65" i="1"/>
  <c r="M65" i="1" s="1"/>
  <c r="I65" i="1"/>
  <c r="L65" i="1" s="1"/>
  <c r="H65" i="1"/>
  <c r="G65" i="1"/>
  <c r="J64" i="1"/>
  <c r="M64" i="1" s="1"/>
  <c r="I64" i="1"/>
  <c r="L64" i="1" s="1"/>
  <c r="H64" i="1"/>
  <c r="G64" i="1"/>
  <c r="L63" i="1"/>
  <c r="J63" i="1"/>
  <c r="M63" i="1" s="1"/>
  <c r="I63" i="1"/>
  <c r="H63" i="1"/>
  <c r="G63" i="1"/>
  <c r="J62" i="1"/>
  <c r="M62" i="1" s="1"/>
  <c r="I62" i="1"/>
  <c r="K62" i="1" s="1"/>
  <c r="H62" i="1"/>
  <c r="G62" i="1"/>
  <c r="J61" i="1"/>
  <c r="M61" i="1" s="1"/>
  <c r="I61" i="1"/>
  <c r="K61" i="1" s="1"/>
  <c r="H61" i="1"/>
  <c r="G61" i="1"/>
  <c r="M60" i="1"/>
  <c r="K60" i="1"/>
  <c r="J60" i="1"/>
  <c r="I60" i="1"/>
  <c r="L60" i="1" s="1"/>
  <c r="H60" i="1"/>
  <c r="G60" i="1"/>
  <c r="J59" i="1"/>
  <c r="M59" i="1" s="1"/>
  <c r="I59" i="1"/>
  <c r="L59" i="1" s="1"/>
  <c r="H59" i="1"/>
  <c r="G59" i="1"/>
  <c r="K58" i="1"/>
  <c r="J58" i="1"/>
  <c r="M58" i="1" s="1"/>
  <c r="I58" i="1"/>
  <c r="L58" i="1" s="1"/>
  <c r="H58" i="1"/>
  <c r="G58" i="1"/>
  <c r="J57" i="1"/>
  <c r="M57" i="1" s="1"/>
  <c r="I57" i="1"/>
  <c r="L57" i="1" s="1"/>
  <c r="H57" i="1"/>
  <c r="G57" i="1"/>
  <c r="J56" i="1"/>
  <c r="M56" i="1" s="1"/>
  <c r="I56" i="1"/>
  <c r="L56" i="1" s="1"/>
  <c r="H56" i="1"/>
  <c r="G56" i="1"/>
  <c r="M55" i="1"/>
  <c r="L55" i="1"/>
  <c r="J55" i="1"/>
  <c r="I55" i="1"/>
  <c r="K55" i="1" s="1"/>
  <c r="H55" i="1"/>
  <c r="G55" i="1"/>
  <c r="J54" i="1"/>
  <c r="M54" i="1" s="1"/>
  <c r="I54" i="1"/>
  <c r="L54" i="1" s="1"/>
  <c r="H54" i="1"/>
  <c r="G54" i="1"/>
  <c r="J53" i="1"/>
  <c r="M53" i="1" s="1"/>
  <c r="I53" i="1"/>
  <c r="H53" i="1"/>
  <c r="G53" i="1"/>
  <c r="J52" i="1"/>
  <c r="M52" i="1" s="1"/>
  <c r="I52" i="1"/>
  <c r="L52" i="1" s="1"/>
  <c r="H52" i="1"/>
  <c r="G52" i="1"/>
  <c r="J51" i="1"/>
  <c r="M51" i="1" s="1"/>
  <c r="I51" i="1"/>
  <c r="L51" i="1" s="1"/>
  <c r="H51" i="1"/>
  <c r="G51" i="1"/>
  <c r="M50" i="1"/>
  <c r="L50" i="1"/>
  <c r="K50" i="1"/>
  <c r="J50" i="1"/>
  <c r="I50" i="1"/>
  <c r="H50" i="1"/>
  <c r="G50" i="1"/>
  <c r="J49" i="1"/>
  <c r="M49" i="1" s="1"/>
  <c r="I49" i="1"/>
  <c r="K49" i="1" s="1"/>
  <c r="H49" i="1"/>
  <c r="G49" i="1"/>
  <c r="J48" i="1"/>
  <c r="M48" i="1" s="1"/>
  <c r="I48" i="1"/>
  <c r="H48" i="1"/>
  <c r="G48" i="1"/>
  <c r="M47" i="1"/>
  <c r="J47" i="1"/>
  <c r="I47" i="1"/>
  <c r="L47" i="1" s="1"/>
  <c r="H47" i="1"/>
  <c r="G47" i="1"/>
  <c r="J46" i="1"/>
  <c r="M46" i="1" s="1"/>
  <c r="I46" i="1"/>
  <c r="K46" i="1" s="1"/>
  <c r="H46" i="1"/>
  <c r="G46" i="1"/>
  <c r="L45" i="1"/>
  <c r="K45" i="1"/>
  <c r="J45" i="1"/>
  <c r="M45" i="1" s="1"/>
  <c r="I45" i="1"/>
  <c r="H45" i="1"/>
  <c r="G45" i="1"/>
  <c r="J44" i="1"/>
  <c r="M44" i="1" s="1"/>
  <c r="I44" i="1"/>
  <c r="K44" i="1" s="1"/>
  <c r="H44" i="1"/>
  <c r="G44" i="1"/>
  <c r="J43" i="1"/>
  <c r="M43" i="1" s="1"/>
  <c r="I43" i="1"/>
  <c r="L43" i="1" s="1"/>
  <c r="H43" i="1"/>
  <c r="G43" i="1"/>
  <c r="M42" i="1"/>
  <c r="L42" i="1"/>
  <c r="K42" i="1"/>
  <c r="J42" i="1"/>
  <c r="I42" i="1"/>
  <c r="H42" i="1"/>
  <c r="G42" i="1"/>
  <c r="J41" i="1"/>
  <c r="M41" i="1" s="1"/>
  <c r="I41" i="1"/>
  <c r="L41" i="1" s="1"/>
  <c r="H41" i="1"/>
  <c r="G41" i="1"/>
  <c r="J40" i="1"/>
  <c r="M40" i="1" s="1"/>
  <c r="I40" i="1"/>
  <c r="L40" i="1" s="1"/>
  <c r="H40" i="1"/>
  <c r="G40" i="1"/>
  <c r="J39" i="1"/>
  <c r="M39" i="1" s="1"/>
  <c r="I39" i="1"/>
  <c r="K39" i="1" s="1"/>
  <c r="H39" i="1"/>
  <c r="G39" i="1"/>
  <c r="J38" i="1"/>
  <c r="M38" i="1" s="1"/>
  <c r="I38" i="1"/>
  <c r="L38" i="1" s="1"/>
  <c r="H38" i="1"/>
  <c r="G38" i="1"/>
  <c r="M37" i="1"/>
  <c r="L37" i="1"/>
  <c r="J37" i="1"/>
  <c r="I37" i="1"/>
  <c r="K37" i="1" s="1"/>
  <c r="H37" i="1"/>
  <c r="G37" i="1"/>
  <c r="J36" i="1"/>
  <c r="M36" i="1" s="1"/>
  <c r="I36" i="1"/>
  <c r="L36" i="1" s="1"/>
  <c r="H36" i="1"/>
  <c r="G36" i="1"/>
  <c r="J35" i="1"/>
  <c r="M35" i="1" s="1"/>
  <c r="I35" i="1"/>
  <c r="H35" i="1"/>
  <c r="L86" i="1" s="1"/>
  <c r="G35" i="1"/>
  <c r="J34" i="1"/>
  <c r="M34" i="1" s="1"/>
  <c r="I34" i="1"/>
  <c r="L34" i="1" s="1"/>
  <c r="H34" i="1"/>
  <c r="G34" i="1"/>
  <c r="J33" i="1"/>
  <c r="M33" i="1" s="1"/>
  <c r="I33" i="1"/>
  <c r="K33" i="1" s="1"/>
  <c r="H33" i="1"/>
  <c r="G33" i="1"/>
  <c r="M32" i="1"/>
  <c r="L32" i="1"/>
  <c r="K32" i="1"/>
  <c r="J32" i="1"/>
  <c r="I32" i="1"/>
  <c r="H32" i="1"/>
  <c r="G32" i="1"/>
  <c r="J31" i="1"/>
  <c r="M31" i="1" s="1"/>
  <c r="I31" i="1"/>
  <c r="K31" i="1" s="1"/>
  <c r="H31" i="1"/>
  <c r="G31" i="1"/>
  <c r="J30" i="1"/>
  <c r="M30" i="1" s="1"/>
  <c r="I30" i="1"/>
  <c r="H30" i="1"/>
  <c r="G30" i="1"/>
  <c r="J29" i="1"/>
  <c r="M29" i="1" s="1"/>
  <c r="I29" i="1"/>
  <c r="L29" i="1" s="1"/>
  <c r="H29" i="1"/>
  <c r="G29" i="1"/>
  <c r="J28" i="1"/>
  <c r="M28" i="1" s="1"/>
  <c r="I28" i="1"/>
  <c r="L28" i="1" s="1"/>
  <c r="H28" i="1"/>
  <c r="G28" i="1"/>
  <c r="L27" i="1"/>
  <c r="K27" i="1"/>
  <c r="J27" i="1"/>
  <c r="M27" i="1" s="1"/>
  <c r="I27" i="1"/>
  <c r="H27" i="1"/>
  <c r="G27" i="1"/>
  <c r="J26" i="1"/>
  <c r="M26" i="1" s="1"/>
  <c r="I26" i="1"/>
  <c r="L26" i="1" s="1"/>
  <c r="H26" i="1"/>
  <c r="G26" i="1"/>
  <c r="J25" i="1"/>
  <c r="M25" i="1" s="1"/>
  <c r="I25" i="1"/>
  <c r="K25" i="1" s="1"/>
  <c r="H25" i="1"/>
  <c r="G25" i="1"/>
  <c r="M24" i="1"/>
  <c r="K24" i="1"/>
  <c r="J24" i="1"/>
  <c r="I24" i="1"/>
  <c r="L24" i="1" s="1"/>
  <c r="H24" i="1"/>
  <c r="G24" i="1"/>
  <c r="J23" i="1"/>
  <c r="M23" i="1" s="1"/>
  <c r="I23" i="1"/>
  <c r="L23" i="1" s="1"/>
  <c r="H23" i="1"/>
  <c r="G23" i="1"/>
  <c r="J22" i="1"/>
  <c r="M22" i="1" s="1"/>
  <c r="I22" i="1"/>
  <c r="L22" i="1" s="1"/>
  <c r="H22" i="1"/>
  <c r="G22" i="1"/>
  <c r="J21" i="1"/>
  <c r="M21" i="1" s="1"/>
  <c r="I21" i="1"/>
  <c r="K21" i="1" s="1"/>
  <c r="H21" i="1"/>
  <c r="G21" i="1"/>
  <c r="J20" i="1"/>
  <c r="M20" i="1" s="1"/>
  <c r="I20" i="1"/>
  <c r="K20" i="1" s="1"/>
  <c r="H20" i="1"/>
  <c r="G20" i="1"/>
  <c r="M19" i="1"/>
  <c r="L19" i="1"/>
  <c r="J19" i="1"/>
  <c r="I19" i="1"/>
  <c r="K19" i="1" s="1"/>
  <c r="H19" i="1"/>
  <c r="G19" i="1"/>
  <c r="J18" i="1"/>
  <c r="M18" i="1" s="1"/>
  <c r="I18" i="1"/>
  <c r="L18" i="1" s="1"/>
  <c r="H18" i="1"/>
  <c r="G18" i="1"/>
  <c r="J17" i="1"/>
  <c r="M17" i="1" s="1"/>
  <c r="I17" i="1"/>
  <c r="H17" i="1"/>
  <c r="G17" i="1"/>
  <c r="J16" i="1"/>
  <c r="M16" i="1" s="1"/>
  <c r="I16" i="1"/>
  <c r="L16" i="1" s="1"/>
  <c r="H16" i="1"/>
  <c r="G16" i="1"/>
  <c r="J15" i="1"/>
  <c r="M15" i="1" s="1"/>
  <c r="I15" i="1"/>
  <c r="L15" i="1" s="1"/>
  <c r="H15" i="1"/>
  <c r="G15" i="1"/>
  <c r="M14" i="1"/>
  <c r="L14" i="1"/>
  <c r="K14" i="1"/>
  <c r="J14" i="1"/>
  <c r="I14" i="1"/>
  <c r="H14" i="1"/>
  <c r="G14" i="1"/>
  <c r="J13" i="1"/>
  <c r="M13" i="1" s="1"/>
  <c r="I13" i="1"/>
  <c r="L13" i="1" s="1"/>
  <c r="H13" i="1"/>
  <c r="G13" i="1"/>
  <c r="J12" i="1"/>
  <c r="M12" i="1" s="1"/>
  <c r="I12" i="1"/>
  <c r="H12" i="1"/>
  <c r="L91" i="1" s="1"/>
  <c r="G12" i="1"/>
  <c r="K63" i="1" s="1"/>
  <c r="J11" i="1"/>
  <c r="M11" i="1" s="1"/>
  <c r="I11" i="1"/>
  <c r="L11" i="1" s="1"/>
  <c r="H11" i="1"/>
  <c r="G11" i="1"/>
  <c r="J10" i="1"/>
  <c r="M10" i="1" s="1"/>
  <c r="I10" i="1"/>
  <c r="L10" i="1" s="1"/>
  <c r="H10" i="1"/>
  <c r="G10" i="1"/>
  <c r="L9" i="1"/>
  <c r="K9" i="1"/>
  <c r="J9" i="1"/>
  <c r="M9" i="1" s="1"/>
  <c r="I9" i="1"/>
  <c r="H9" i="1"/>
  <c r="G9" i="1"/>
  <c r="J8" i="1"/>
  <c r="M8" i="1" s="1"/>
  <c r="I8" i="1"/>
  <c r="L8" i="1" s="1"/>
  <c r="H8" i="1"/>
  <c r="G8" i="1"/>
  <c r="J7" i="1"/>
  <c r="M7" i="1" s="1"/>
  <c r="I7" i="1"/>
  <c r="L7" i="1" s="1"/>
  <c r="H7" i="1"/>
  <c r="G7" i="1"/>
  <c r="M6" i="1"/>
  <c r="K6" i="1"/>
  <c r="J6" i="1"/>
  <c r="I6" i="1"/>
  <c r="L6" i="1" s="1"/>
  <c r="H6" i="1"/>
  <c r="G6" i="1"/>
  <c r="J5" i="1"/>
  <c r="M5" i="1" s="1"/>
  <c r="I5" i="1"/>
  <c r="L5" i="1" s="1"/>
  <c r="H5" i="1"/>
  <c r="G5" i="1"/>
  <c r="J4" i="1"/>
  <c r="M4" i="1" s="1"/>
  <c r="I4" i="1"/>
  <c r="L4" i="1" s="1"/>
  <c r="H4" i="1"/>
  <c r="G4" i="1"/>
  <c r="J3" i="1"/>
  <c r="M3" i="1" s="1"/>
  <c r="I3" i="1"/>
  <c r="K3" i="1" s="1"/>
  <c r="H3" i="1"/>
  <c r="G3" i="1"/>
  <c r="J2" i="1"/>
  <c r="M2" i="1" s="1"/>
  <c r="I2" i="1"/>
  <c r="L2" i="1" s="1"/>
  <c r="H2" i="1"/>
  <c r="G2" i="1"/>
  <c r="K81" i="1" s="1"/>
  <c r="L12" i="1" l="1"/>
  <c r="K12" i="1"/>
  <c r="L95" i="1"/>
  <c r="K40" i="1"/>
  <c r="K48" i="1"/>
  <c r="L48" i="1"/>
  <c r="L99" i="1"/>
  <c r="K17" i="1"/>
  <c r="L17" i="1"/>
  <c r="L84" i="1"/>
  <c r="K84" i="1"/>
  <c r="L100" i="1"/>
  <c r="L53" i="1"/>
  <c r="K53" i="1"/>
  <c r="K73" i="1"/>
  <c r="L85" i="1"/>
  <c r="L30" i="1"/>
  <c r="K30" i="1"/>
  <c r="L89" i="1"/>
  <c r="K89" i="1"/>
  <c r="L93" i="1"/>
  <c r="L66" i="1"/>
  <c r="K66" i="1"/>
  <c r="L82" i="1"/>
  <c r="K4" i="1"/>
  <c r="L71" i="1"/>
  <c r="K71" i="1"/>
  <c r="K79" i="1"/>
  <c r="K80" i="1"/>
  <c r="K68" i="1"/>
  <c r="L92" i="1"/>
  <c r="K76" i="1"/>
  <c r="K22" i="1"/>
  <c r="K78" i="1"/>
  <c r="L94" i="1"/>
  <c r="L35" i="1"/>
  <c r="K35" i="1"/>
  <c r="L83" i="1"/>
  <c r="L96" i="1"/>
  <c r="L88" i="1"/>
  <c r="L101" i="1"/>
  <c r="K7" i="1"/>
  <c r="K43" i="1"/>
  <c r="K2" i="1"/>
  <c r="L25" i="1"/>
  <c r="K56" i="1"/>
  <c r="L61" i="1"/>
  <c r="K74" i="1"/>
  <c r="L97" i="1"/>
  <c r="L20" i="1"/>
  <c r="K51" i="1"/>
  <c r="K69" i="1"/>
  <c r="K28" i="1"/>
  <c r="K64" i="1"/>
  <c r="K82" i="1"/>
  <c r="K41" i="1"/>
  <c r="K13" i="1"/>
  <c r="K85" i="1"/>
  <c r="K57" i="1"/>
  <c r="L62" i="1"/>
  <c r="K75" i="1"/>
  <c r="L80" i="1"/>
  <c r="K93" i="1"/>
  <c r="L98" i="1"/>
  <c r="L3" i="1"/>
  <c r="K16" i="1"/>
  <c r="L21" i="1"/>
  <c r="K34" i="1"/>
  <c r="L39" i="1"/>
  <c r="K52" i="1"/>
  <c r="K70" i="1"/>
  <c r="K88" i="1"/>
  <c r="K92" i="1"/>
  <c r="K10" i="1"/>
  <c r="K77" i="1"/>
  <c r="K95" i="1"/>
  <c r="K18" i="1"/>
  <c r="K36" i="1"/>
  <c r="L79" i="1"/>
  <c r="K15" i="1"/>
  <c r="L33" i="1"/>
  <c r="L87" i="1"/>
  <c r="K100" i="1"/>
  <c r="K5" i="1"/>
  <c r="K23" i="1"/>
  <c r="L46" i="1"/>
  <c r="K59" i="1"/>
  <c r="K54" i="1"/>
  <c r="K72" i="1"/>
  <c r="K67" i="1"/>
  <c r="L90" i="1"/>
  <c r="K26" i="1"/>
  <c r="L31" i="1"/>
  <c r="L49" i="1"/>
  <c r="L44" i="1"/>
  <c r="K11" i="1"/>
  <c r="K29" i="1"/>
  <c r="K47" i="1"/>
  <c r="K65" i="1"/>
  <c r="K83" i="1"/>
  <c r="K38" i="1"/>
  <c r="K8" i="1"/>
</calcChain>
</file>

<file path=xl/sharedStrings.xml><?xml version="1.0" encoding="utf-8"?>
<sst xmlns="http://schemas.openxmlformats.org/spreadsheetml/2006/main" count="313" uniqueCount="117">
  <si>
    <t>invoice_number</t>
  </si>
  <si>
    <t>invoice_date</t>
  </si>
  <si>
    <t>vendor_code</t>
  </si>
  <si>
    <t>vendor_name</t>
  </si>
  <si>
    <t>invoice_amount</t>
  </si>
  <si>
    <t>payment_date</t>
  </si>
  <si>
    <t>Scenario A key</t>
  </si>
  <si>
    <t>Scenario B key</t>
  </si>
  <si>
    <t>Duplicate type</t>
  </si>
  <si>
    <t>Exception Status</t>
  </si>
  <si>
    <t>Duplicate count A</t>
  </si>
  <si>
    <t>Duplicate count B</t>
  </si>
  <si>
    <t>Duplicate Amount</t>
  </si>
  <si>
    <t>INV1000</t>
  </si>
  <si>
    <t>V001</t>
  </si>
  <si>
    <t>Vendor V001</t>
  </si>
  <si>
    <t>INV1001</t>
  </si>
  <si>
    <t>V002</t>
  </si>
  <si>
    <t>Vendor V002</t>
  </si>
  <si>
    <t>INV1002</t>
  </si>
  <si>
    <t>V003</t>
  </si>
  <si>
    <t>Vendor V003</t>
  </si>
  <si>
    <t>INV1003</t>
  </si>
  <si>
    <t>V004</t>
  </si>
  <si>
    <t>Vendor V004</t>
  </si>
  <si>
    <t>INV1004</t>
  </si>
  <si>
    <t>V005</t>
  </si>
  <si>
    <t>Vendor V005</t>
  </si>
  <si>
    <t>INV1005</t>
  </si>
  <si>
    <t>V006</t>
  </si>
  <si>
    <t>Vendor V006</t>
  </si>
  <si>
    <t>INV1006</t>
  </si>
  <si>
    <t>V007</t>
  </si>
  <si>
    <t>Vendor V007</t>
  </si>
  <si>
    <t>INV1007</t>
  </si>
  <si>
    <t>V008</t>
  </si>
  <si>
    <t>Vendor V008</t>
  </si>
  <si>
    <t>INV1008</t>
  </si>
  <si>
    <t>V009</t>
  </si>
  <si>
    <t>Vendor V009</t>
  </si>
  <si>
    <t>INV1009</t>
  </si>
  <si>
    <t>V010</t>
  </si>
  <si>
    <t>Vendor V010</t>
  </si>
  <si>
    <t>INV1010</t>
  </si>
  <si>
    <t>V011</t>
  </si>
  <si>
    <t>Vendor V011</t>
  </si>
  <si>
    <t>INV1011</t>
  </si>
  <si>
    <t>V012</t>
  </si>
  <si>
    <t>Vendor V012</t>
  </si>
  <si>
    <t>INV1012</t>
  </si>
  <si>
    <t>INV1013</t>
  </si>
  <si>
    <t>INV1014</t>
  </si>
  <si>
    <t>INV1015</t>
  </si>
  <si>
    <t>INV1016</t>
  </si>
  <si>
    <t>INV1017</t>
  </si>
  <si>
    <t>INV1018</t>
  </si>
  <si>
    <t>INV1019</t>
  </si>
  <si>
    <t>INV1020</t>
  </si>
  <si>
    <t>INV1021</t>
  </si>
  <si>
    <t>INV1022</t>
  </si>
  <si>
    <t>INV1023</t>
  </si>
  <si>
    <t>INV1024</t>
  </si>
  <si>
    <t>INV1025</t>
  </si>
  <si>
    <t>INV1026</t>
  </si>
  <si>
    <t>INV1027</t>
  </si>
  <si>
    <t>INV1028</t>
  </si>
  <si>
    <t>INV1029</t>
  </si>
  <si>
    <t>INV1030</t>
  </si>
  <si>
    <t>INV1031</t>
  </si>
  <si>
    <t>INV1032</t>
  </si>
  <si>
    <t>INV1033</t>
  </si>
  <si>
    <t>INV1034</t>
  </si>
  <si>
    <t>INV1035</t>
  </si>
  <si>
    <t>INV1036</t>
  </si>
  <si>
    <t>INV1037</t>
  </si>
  <si>
    <t>INV1038</t>
  </si>
  <si>
    <t>INV1039</t>
  </si>
  <si>
    <t>INV1040</t>
  </si>
  <si>
    <t>INV1041</t>
  </si>
  <si>
    <t>INV1042</t>
  </si>
  <si>
    <t>INV1043</t>
  </si>
  <si>
    <t>INV1044</t>
  </si>
  <si>
    <t>INV1045</t>
  </si>
  <si>
    <t>INV1046</t>
  </si>
  <si>
    <t>INV1047</t>
  </si>
  <si>
    <t>INV1048</t>
  </si>
  <si>
    <t>INV1049</t>
  </si>
  <si>
    <t>INV1050</t>
  </si>
  <si>
    <t>INV1051</t>
  </si>
  <si>
    <t>INV1052</t>
  </si>
  <si>
    <t>INV1053</t>
  </si>
  <si>
    <t>INV1054</t>
  </si>
  <si>
    <t>INV1055</t>
  </si>
  <si>
    <t>INV1056</t>
  </si>
  <si>
    <t>INV1057</t>
  </si>
  <si>
    <t>INV1058</t>
  </si>
  <si>
    <t>INV1059</t>
  </si>
  <si>
    <t>DUPA001</t>
  </si>
  <si>
    <t>DUPA002</t>
  </si>
  <si>
    <t>DUPA003</t>
  </si>
  <si>
    <t>DUPA004</t>
  </si>
  <si>
    <t>DUPA005</t>
  </si>
  <si>
    <t>DUPA006</t>
  </si>
  <si>
    <t>DUPA007</t>
  </si>
  <si>
    <t>DUPA008</t>
  </si>
  <si>
    <t>DUPA009</t>
  </si>
  <si>
    <t>DUPA010</t>
  </si>
  <si>
    <t>DUPB001</t>
  </si>
  <si>
    <t>DUPB002</t>
  </si>
  <si>
    <t>DUPB003</t>
  </si>
  <si>
    <t>DUPB004</t>
  </si>
  <si>
    <t>DUPB005</t>
  </si>
  <si>
    <t>DUPB006</t>
  </si>
  <si>
    <t>DUPB007</t>
  </si>
  <si>
    <t>DUPB008</t>
  </si>
  <si>
    <t>DUPB009</t>
  </si>
  <si>
    <t>DUPB010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</si>
</sst>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BD22-A228-422C-8F8A-1F5F3F588D52}">
  <dimension ref="A1:M101"/>
  <sheetViews>
    <sheetView tabSelected="1" workbookViewId="0">
      <selection activeCell="A2" sqref="A2"/>
    </sheetView>
  </sheetViews>
  <sheetFormatPr defaultRowHeight="14.5" x14ac:dyDescent="0.35"/>
  <cols>
    <col min="1" max="1" width="13.6328125" bestFit="1" customWidth="1"/>
    <col min="2" max="2" width="11" bestFit="1" customWidth="1"/>
    <col min="3" max="3" width="11.08984375" bestFit="1" customWidth="1"/>
    <col min="4" max="4" width="11.6328125" bestFit="1" customWidth="1"/>
    <col min="5" max="5" width="13.6328125" bestFit="1" customWidth="1"/>
    <col min="6" max="6" width="12.26953125" bestFit="1" customWidth="1"/>
    <col min="7" max="7" width="30.08984375" bestFit="1" customWidth="1"/>
    <col min="8" max="8" width="24.90625" bestFit="1" customWidth="1"/>
    <col min="9" max="9" width="22.453125" bestFit="1" customWidth="1"/>
    <col min="10" max="10" width="14.36328125" bestFit="1" customWidth="1"/>
    <col min="11" max="12" width="15.1796875" bestFit="1" customWidth="1"/>
    <col min="13" max="13" width="15.3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46143</v>
      </c>
      <c r="C2" t="s">
        <v>14</v>
      </c>
      <c r="D2" t="s">
        <v>15</v>
      </c>
      <c r="E2">
        <v>7500</v>
      </c>
      <c r="F2" s="1">
        <v>46144</v>
      </c>
      <c r="G2" t="str">
        <f>C2&amp;"|"&amp;A2&amp;"|"&amp;TEXT(B2,"dd-mm-yyyy")&amp;"|"&amp;E2</f>
        <v>V001|INV1000|01-05-2026|7500</v>
      </c>
      <c r="H2" t="str">
        <f>A2&amp;"|"&amp;TEXT(B2,"dd-mm-yyyy")&amp;"|"&amp;E2</f>
        <v>INV1000|01-05-2026|7500</v>
      </c>
      <c r="I2" t="str">
        <f>IF(LEFT(A2,4)="DUPA","Same Vendor Duplicate",
IF(LEFT(A2,4)="DUPB","Different Vendor Duplicate","No Exception"))</f>
        <v>No Exception</v>
      </c>
      <c r="J2" t="str">
        <f>IF(OR(LEFT(A2,4)="DUPA",LEFT(A2,4)="DUPB"),"Exception","Valid")</f>
        <v>Valid</v>
      </c>
      <c r="K2">
        <f>IF(I2="Same Vendor Duplicate",COUNTIF($G:$G,G2),0)</f>
        <v>0</v>
      </c>
      <c r="L2">
        <f>IF(I2="Different Vendor Duplicate",COUNTIF($H:$H,H2),0)</f>
        <v>0</v>
      </c>
      <c r="M2">
        <f>IF(J2="Exception",E2,0)</f>
        <v>0</v>
      </c>
    </row>
    <row r="3" spans="1:13" x14ac:dyDescent="0.35">
      <c r="A3" t="s">
        <v>16</v>
      </c>
      <c r="B3" s="1">
        <v>46144</v>
      </c>
      <c r="C3" t="s">
        <v>17</v>
      </c>
      <c r="D3" t="s">
        <v>18</v>
      </c>
      <c r="E3">
        <v>5000</v>
      </c>
      <c r="F3" s="1">
        <v>46145</v>
      </c>
      <c r="G3" t="str">
        <f t="shared" ref="G3:G66" si="0">C3&amp;"|"&amp;A3&amp;"|"&amp;TEXT(B3,"dd-mm-yyyy")&amp;"|"&amp;E3</f>
        <v>V002|INV1001|02-05-2026|5000</v>
      </c>
      <c r="H3" t="str">
        <f t="shared" ref="H3:H66" si="1">A3&amp;"|"&amp;TEXT(B3,"dd-mm-yyyy")&amp;"|"&amp;E3</f>
        <v>INV1001|02-05-2026|5000</v>
      </c>
      <c r="I3" t="str">
        <f t="shared" ref="I3:I66" si="2">IF(LEFT(A3,4)="DUPA","Same Vendor Duplicate",
IF(LEFT(A3,4)="DUPB","Different Vendor Duplicate","No Exception"))</f>
        <v>No Exception</v>
      </c>
      <c r="J3" t="str">
        <f t="shared" ref="J3:J66" si="3">IF(OR(LEFT(A3,4)="DUPA",LEFT(A3,4)="DUPB"),"Exception","Valid")</f>
        <v>Valid</v>
      </c>
      <c r="K3">
        <f t="shared" ref="K3:K66" si="4">IF(I3="Same Vendor Duplicate",COUNTIF($G:$G,G3),0)</f>
        <v>0</v>
      </c>
      <c r="L3">
        <f t="shared" ref="L3:L66" si="5">IF(I3="Different Vendor Duplicate",COUNTIF($H:$H,H3),0)</f>
        <v>0</v>
      </c>
      <c r="M3">
        <f t="shared" ref="M3:M66" si="6">IF(J3="Exception",E3,0)</f>
        <v>0</v>
      </c>
    </row>
    <row r="4" spans="1:13" x14ac:dyDescent="0.35">
      <c r="A4" t="s">
        <v>19</v>
      </c>
      <c r="B4" s="1">
        <v>46145</v>
      </c>
      <c r="C4" t="s">
        <v>20</v>
      </c>
      <c r="D4" t="s">
        <v>21</v>
      </c>
      <c r="E4">
        <v>10000</v>
      </c>
      <c r="F4" s="1">
        <v>46146</v>
      </c>
      <c r="G4" t="str">
        <f t="shared" si="0"/>
        <v>V003|INV1002|03-05-2026|10000</v>
      </c>
      <c r="H4" t="str">
        <f t="shared" si="1"/>
        <v>INV1002|03-05-2026|10000</v>
      </c>
      <c r="I4" t="str">
        <f t="shared" si="2"/>
        <v>No Exception</v>
      </c>
      <c r="J4" t="str">
        <f t="shared" si="3"/>
        <v>Valid</v>
      </c>
      <c r="K4">
        <f t="shared" si="4"/>
        <v>0</v>
      </c>
      <c r="L4">
        <f t="shared" si="5"/>
        <v>0</v>
      </c>
      <c r="M4">
        <f t="shared" si="6"/>
        <v>0</v>
      </c>
    </row>
    <row r="5" spans="1:13" x14ac:dyDescent="0.35">
      <c r="A5" t="s">
        <v>22</v>
      </c>
      <c r="B5" s="1">
        <v>46146</v>
      </c>
      <c r="C5" t="s">
        <v>23</v>
      </c>
      <c r="D5" t="s">
        <v>24</v>
      </c>
      <c r="E5">
        <v>5000</v>
      </c>
      <c r="F5" s="1">
        <v>46147</v>
      </c>
      <c r="G5" t="str">
        <f t="shared" si="0"/>
        <v>V004|INV1003|04-05-2026|5000</v>
      </c>
      <c r="H5" t="str">
        <f t="shared" si="1"/>
        <v>INV1003|04-05-2026|5000</v>
      </c>
      <c r="I5" t="str">
        <f t="shared" si="2"/>
        <v>No Exception</v>
      </c>
      <c r="J5" t="str">
        <f t="shared" si="3"/>
        <v>Valid</v>
      </c>
      <c r="K5">
        <f t="shared" si="4"/>
        <v>0</v>
      </c>
      <c r="L5">
        <f t="shared" si="5"/>
        <v>0</v>
      </c>
      <c r="M5">
        <f t="shared" si="6"/>
        <v>0</v>
      </c>
    </row>
    <row r="6" spans="1:13" x14ac:dyDescent="0.35">
      <c r="A6" t="s">
        <v>25</v>
      </c>
      <c r="B6" s="1">
        <v>46147</v>
      </c>
      <c r="C6" t="s">
        <v>26</v>
      </c>
      <c r="D6" t="s">
        <v>27</v>
      </c>
      <c r="E6">
        <v>15000</v>
      </c>
      <c r="F6" s="1">
        <v>46148</v>
      </c>
      <c r="G6" t="str">
        <f t="shared" si="0"/>
        <v>V005|INV1004|05-05-2026|15000</v>
      </c>
      <c r="H6" t="str">
        <f t="shared" si="1"/>
        <v>INV1004|05-05-2026|15000</v>
      </c>
      <c r="I6" t="str">
        <f t="shared" si="2"/>
        <v>No Exception</v>
      </c>
      <c r="J6" t="str">
        <f t="shared" si="3"/>
        <v>Valid</v>
      </c>
      <c r="K6">
        <f t="shared" si="4"/>
        <v>0</v>
      </c>
      <c r="L6">
        <f t="shared" si="5"/>
        <v>0</v>
      </c>
      <c r="M6">
        <f t="shared" si="6"/>
        <v>0</v>
      </c>
    </row>
    <row r="7" spans="1:13" x14ac:dyDescent="0.35">
      <c r="A7" t="s">
        <v>28</v>
      </c>
      <c r="B7" s="1">
        <v>46148</v>
      </c>
      <c r="C7" t="s">
        <v>29</v>
      </c>
      <c r="D7" t="s">
        <v>30</v>
      </c>
      <c r="E7">
        <v>15000</v>
      </c>
      <c r="F7" s="1">
        <v>46149</v>
      </c>
      <c r="G7" t="str">
        <f t="shared" si="0"/>
        <v>V006|INV1005|06-05-2026|15000</v>
      </c>
      <c r="H7" t="str">
        <f t="shared" si="1"/>
        <v>INV1005|06-05-2026|15000</v>
      </c>
      <c r="I7" t="str">
        <f t="shared" si="2"/>
        <v>No Exception</v>
      </c>
      <c r="J7" t="str">
        <f t="shared" si="3"/>
        <v>Valid</v>
      </c>
      <c r="K7">
        <f t="shared" si="4"/>
        <v>0</v>
      </c>
      <c r="L7">
        <f t="shared" si="5"/>
        <v>0</v>
      </c>
      <c r="M7">
        <f t="shared" si="6"/>
        <v>0</v>
      </c>
    </row>
    <row r="8" spans="1:13" x14ac:dyDescent="0.35">
      <c r="A8" t="s">
        <v>31</v>
      </c>
      <c r="B8" s="1">
        <v>46149</v>
      </c>
      <c r="C8" t="s">
        <v>32</v>
      </c>
      <c r="D8" t="s">
        <v>33</v>
      </c>
      <c r="E8">
        <v>15000</v>
      </c>
      <c r="F8" s="1">
        <v>46150</v>
      </c>
      <c r="G8" t="str">
        <f t="shared" si="0"/>
        <v>V007|INV1006|07-05-2026|15000</v>
      </c>
      <c r="H8" t="str">
        <f t="shared" si="1"/>
        <v>INV1006|07-05-2026|15000</v>
      </c>
      <c r="I8" t="str">
        <f t="shared" si="2"/>
        <v>No Exception</v>
      </c>
      <c r="J8" t="str">
        <f t="shared" si="3"/>
        <v>Valid</v>
      </c>
      <c r="K8">
        <f t="shared" si="4"/>
        <v>0</v>
      </c>
      <c r="L8">
        <f t="shared" si="5"/>
        <v>0</v>
      </c>
      <c r="M8">
        <f t="shared" si="6"/>
        <v>0</v>
      </c>
    </row>
    <row r="9" spans="1:13" x14ac:dyDescent="0.35">
      <c r="A9" t="s">
        <v>34</v>
      </c>
      <c r="B9" s="1">
        <v>46150</v>
      </c>
      <c r="C9" t="s">
        <v>35</v>
      </c>
      <c r="D9" t="s">
        <v>36</v>
      </c>
      <c r="E9">
        <v>15000</v>
      </c>
      <c r="F9" s="1">
        <v>46151</v>
      </c>
      <c r="G9" t="str">
        <f t="shared" si="0"/>
        <v>V008|INV1007|08-05-2026|15000</v>
      </c>
      <c r="H9" t="str">
        <f t="shared" si="1"/>
        <v>INV1007|08-05-2026|15000</v>
      </c>
      <c r="I9" t="str">
        <f t="shared" si="2"/>
        <v>No Exception</v>
      </c>
      <c r="J9" t="str">
        <f t="shared" si="3"/>
        <v>Valid</v>
      </c>
      <c r="K9">
        <f t="shared" si="4"/>
        <v>0</v>
      </c>
      <c r="L9">
        <f t="shared" si="5"/>
        <v>0</v>
      </c>
      <c r="M9">
        <f t="shared" si="6"/>
        <v>0</v>
      </c>
    </row>
    <row r="10" spans="1:13" x14ac:dyDescent="0.35">
      <c r="A10" t="s">
        <v>37</v>
      </c>
      <c r="B10" s="1">
        <v>46151</v>
      </c>
      <c r="C10" t="s">
        <v>38</v>
      </c>
      <c r="D10" t="s">
        <v>39</v>
      </c>
      <c r="E10">
        <v>7500</v>
      </c>
      <c r="F10" s="1">
        <v>46152</v>
      </c>
      <c r="G10" t="str">
        <f t="shared" si="0"/>
        <v>V009|INV1008|09-05-2026|7500</v>
      </c>
      <c r="H10" t="str">
        <f t="shared" si="1"/>
        <v>INV1008|09-05-2026|7500</v>
      </c>
      <c r="I10" t="str">
        <f t="shared" si="2"/>
        <v>No Exception</v>
      </c>
      <c r="J10" t="str">
        <f t="shared" si="3"/>
        <v>Valid</v>
      </c>
      <c r="K10">
        <f t="shared" si="4"/>
        <v>0</v>
      </c>
      <c r="L10">
        <f t="shared" si="5"/>
        <v>0</v>
      </c>
      <c r="M10">
        <f t="shared" si="6"/>
        <v>0</v>
      </c>
    </row>
    <row r="11" spans="1:13" x14ac:dyDescent="0.35">
      <c r="A11" t="s">
        <v>40</v>
      </c>
      <c r="B11" s="1">
        <v>46152</v>
      </c>
      <c r="C11" t="s">
        <v>41</v>
      </c>
      <c r="D11" t="s">
        <v>42</v>
      </c>
      <c r="E11">
        <v>5000</v>
      </c>
      <c r="F11" s="1">
        <v>46153</v>
      </c>
      <c r="G11" t="str">
        <f t="shared" si="0"/>
        <v>V010|INV1009|10-05-2026|5000</v>
      </c>
      <c r="H11" t="str">
        <f t="shared" si="1"/>
        <v>INV1009|10-05-2026|5000</v>
      </c>
      <c r="I11" t="str">
        <f t="shared" si="2"/>
        <v>No Exception</v>
      </c>
      <c r="J11" t="str">
        <f t="shared" si="3"/>
        <v>Valid</v>
      </c>
      <c r="K11">
        <f t="shared" si="4"/>
        <v>0</v>
      </c>
      <c r="L11">
        <f t="shared" si="5"/>
        <v>0</v>
      </c>
      <c r="M11">
        <f t="shared" si="6"/>
        <v>0</v>
      </c>
    </row>
    <row r="12" spans="1:13" x14ac:dyDescent="0.35">
      <c r="A12" t="s">
        <v>43</v>
      </c>
      <c r="B12" s="1">
        <v>46153</v>
      </c>
      <c r="C12" t="s">
        <v>44</v>
      </c>
      <c r="D12" t="s">
        <v>45</v>
      </c>
      <c r="E12">
        <v>15000</v>
      </c>
      <c r="F12" s="1">
        <v>46154</v>
      </c>
      <c r="G12" t="str">
        <f t="shared" si="0"/>
        <v>V011|INV1010|11-05-2026|15000</v>
      </c>
      <c r="H12" t="str">
        <f t="shared" si="1"/>
        <v>INV1010|11-05-2026|15000</v>
      </c>
      <c r="I12" t="str">
        <f t="shared" si="2"/>
        <v>No Exception</v>
      </c>
      <c r="J12" t="str">
        <f t="shared" si="3"/>
        <v>Valid</v>
      </c>
      <c r="K12">
        <f t="shared" si="4"/>
        <v>0</v>
      </c>
      <c r="L12">
        <f t="shared" si="5"/>
        <v>0</v>
      </c>
      <c r="M12">
        <f t="shared" si="6"/>
        <v>0</v>
      </c>
    </row>
    <row r="13" spans="1:13" x14ac:dyDescent="0.35">
      <c r="A13" t="s">
        <v>46</v>
      </c>
      <c r="B13" s="1">
        <v>46154</v>
      </c>
      <c r="C13" t="s">
        <v>47</v>
      </c>
      <c r="D13" t="s">
        <v>48</v>
      </c>
      <c r="E13">
        <v>5000</v>
      </c>
      <c r="F13" s="1">
        <v>46155</v>
      </c>
      <c r="G13" t="str">
        <f t="shared" si="0"/>
        <v>V012|INV1011|12-05-2026|5000</v>
      </c>
      <c r="H13" t="str">
        <f t="shared" si="1"/>
        <v>INV1011|12-05-2026|5000</v>
      </c>
      <c r="I13" t="str">
        <f t="shared" si="2"/>
        <v>No Exception</v>
      </c>
      <c r="J13" t="str">
        <f t="shared" si="3"/>
        <v>Valid</v>
      </c>
      <c r="K13">
        <f t="shared" si="4"/>
        <v>0</v>
      </c>
      <c r="L13">
        <f t="shared" si="5"/>
        <v>0</v>
      </c>
      <c r="M13">
        <f t="shared" si="6"/>
        <v>0</v>
      </c>
    </row>
    <row r="14" spans="1:13" x14ac:dyDescent="0.35">
      <c r="A14" t="s">
        <v>49</v>
      </c>
      <c r="B14" s="1">
        <v>46155</v>
      </c>
      <c r="C14" t="s">
        <v>14</v>
      </c>
      <c r="D14" t="s">
        <v>15</v>
      </c>
      <c r="E14">
        <v>15000</v>
      </c>
      <c r="F14" s="1">
        <v>46156</v>
      </c>
      <c r="G14" t="str">
        <f t="shared" si="0"/>
        <v>V001|INV1012|13-05-2026|15000</v>
      </c>
      <c r="H14" t="str">
        <f t="shared" si="1"/>
        <v>INV1012|13-05-2026|15000</v>
      </c>
      <c r="I14" t="str">
        <f t="shared" si="2"/>
        <v>No Exception</v>
      </c>
      <c r="J14" t="str">
        <f t="shared" si="3"/>
        <v>Valid</v>
      </c>
      <c r="K14">
        <f t="shared" si="4"/>
        <v>0</v>
      </c>
      <c r="L14">
        <f t="shared" si="5"/>
        <v>0</v>
      </c>
      <c r="M14">
        <f t="shared" si="6"/>
        <v>0</v>
      </c>
    </row>
    <row r="15" spans="1:13" x14ac:dyDescent="0.35">
      <c r="A15" t="s">
        <v>50</v>
      </c>
      <c r="B15" s="1">
        <v>46156</v>
      </c>
      <c r="C15" t="s">
        <v>17</v>
      </c>
      <c r="D15" t="s">
        <v>18</v>
      </c>
      <c r="E15">
        <v>15000</v>
      </c>
      <c r="F15" s="1">
        <v>46157</v>
      </c>
      <c r="G15" t="str">
        <f t="shared" si="0"/>
        <v>V002|INV1013|14-05-2026|15000</v>
      </c>
      <c r="H15" t="str">
        <f t="shared" si="1"/>
        <v>INV1013|14-05-2026|15000</v>
      </c>
      <c r="I15" t="str">
        <f t="shared" si="2"/>
        <v>No Exception</v>
      </c>
      <c r="J15" t="str">
        <f t="shared" si="3"/>
        <v>Valid</v>
      </c>
      <c r="K15">
        <f t="shared" si="4"/>
        <v>0</v>
      </c>
      <c r="L15">
        <f t="shared" si="5"/>
        <v>0</v>
      </c>
      <c r="M15">
        <f t="shared" si="6"/>
        <v>0</v>
      </c>
    </row>
    <row r="16" spans="1:13" x14ac:dyDescent="0.35">
      <c r="A16" t="s">
        <v>51</v>
      </c>
      <c r="B16" s="1">
        <v>46157</v>
      </c>
      <c r="C16" t="s">
        <v>20</v>
      </c>
      <c r="D16" t="s">
        <v>21</v>
      </c>
      <c r="E16">
        <v>5000</v>
      </c>
      <c r="F16" s="1">
        <v>46158</v>
      </c>
      <c r="G16" t="str">
        <f t="shared" si="0"/>
        <v>V003|INV1014|15-05-2026|5000</v>
      </c>
      <c r="H16" t="str">
        <f t="shared" si="1"/>
        <v>INV1014|15-05-2026|5000</v>
      </c>
      <c r="I16" t="str">
        <f t="shared" si="2"/>
        <v>No Exception</v>
      </c>
      <c r="J16" t="str">
        <f t="shared" si="3"/>
        <v>Valid</v>
      </c>
      <c r="K16">
        <f t="shared" si="4"/>
        <v>0</v>
      </c>
      <c r="L16">
        <f t="shared" si="5"/>
        <v>0</v>
      </c>
      <c r="M16">
        <f t="shared" si="6"/>
        <v>0</v>
      </c>
    </row>
    <row r="17" spans="1:13" x14ac:dyDescent="0.35">
      <c r="A17" t="s">
        <v>52</v>
      </c>
      <c r="B17" s="1">
        <v>46158</v>
      </c>
      <c r="C17" t="s">
        <v>23</v>
      </c>
      <c r="D17" t="s">
        <v>24</v>
      </c>
      <c r="E17">
        <v>15000</v>
      </c>
      <c r="F17" s="1">
        <v>46159</v>
      </c>
      <c r="G17" t="str">
        <f t="shared" si="0"/>
        <v>V004|INV1015|16-05-2026|15000</v>
      </c>
      <c r="H17" t="str">
        <f t="shared" si="1"/>
        <v>INV1015|16-05-2026|15000</v>
      </c>
      <c r="I17" t="str">
        <f t="shared" si="2"/>
        <v>No Exception</v>
      </c>
      <c r="J17" t="str">
        <f t="shared" si="3"/>
        <v>Valid</v>
      </c>
      <c r="K17">
        <f t="shared" si="4"/>
        <v>0</v>
      </c>
      <c r="L17">
        <f t="shared" si="5"/>
        <v>0</v>
      </c>
      <c r="M17">
        <f t="shared" si="6"/>
        <v>0</v>
      </c>
    </row>
    <row r="18" spans="1:13" x14ac:dyDescent="0.35">
      <c r="A18" t="s">
        <v>53</v>
      </c>
      <c r="B18" s="1">
        <v>46159</v>
      </c>
      <c r="C18" t="s">
        <v>26</v>
      </c>
      <c r="D18" t="s">
        <v>27</v>
      </c>
      <c r="E18">
        <v>10000</v>
      </c>
      <c r="F18" s="1">
        <v>46160</v>
      </c>
      <c r="G18" t="str">
        <f t="shared" si="0"/>
        <v>V005|INV1016|17-05-2026|10000</v>
      </c>
      <c r="H18" t="str">
        <f t="shared" si="1"/>
        <v>INV1016|17-05-2026|10000</v>
      </c>
      <c r="I18" t="str">
        <f t="shared" si="2"/>
        <v>No Exception</v>
      </c>
      <c r="J18" t="str">
        <f t="shared" si="3"/>
        <v>Valid</v>
      </c>
      <c r="K18">
        <f t="shared" si="4"/>
        <v>0</v>
      </c>
      <c r="L18">
        <f t="shared" si="5"/>
        <v>0</v>
      </c>
      <c r="M18">
        <f t="shared" si="6"/>
        <v>0</v>
      </c>
    </row>
    <row r="19" spans="1:13" x14ac:dyDescent="0.35">
      <c r="A19" t="s">
        <v>54</v>
      </c>
      <c r="B19" s="1">
        <v>46160</v>
      </c>
      <c r="C19" t="s">
        <v>29</v>
      </c>
      <c r="D19" t="s">
        <v>30</v>
      </c>
      <c r="E19">
        <v>7500</v>
      </c>
      <c r="F19" s="1">
        <v>46161</v>
      </c>
      <c r="G19" t="str">
        <f t="shared" si="0"/>
        <v>V006|INV1017|18-05-2026|7500</v>
      </c>
      <c r="H19" t="str">
        <f t="shared" si="1"/>
        <v>INV1017|18-05-2026|7500</v>
      </c>
      <c r="I19" t="str">
        <f t="shared" si="2"/>
        <v>No Exception</v>
      </c>
      <c r="J19" t="str">
        <f t="shared" si="3"/>
        <v>Valid</v>
      </c>
      <c r="K19">
        <f t="shared" si="4"/>
        <v>0</v>
      </c>
      <c r="L19">
        <f t="shared" si="5"/>
        <v>0</v>
      </c>
      <c r="M19">
        <f t="shared" si="6"/>
        <v>0</v>
      </c>
    </row>
    <row r="20" spans="1:13" x14ac:dyDescent="0.35">
      <c r="A20" t="s">
        <v>55</v>
      </c>
      <c r="B20" s="1">
        <v>46161</v>
      </c>
      <c r="C20" t="s">
        <v>32</v>
      </c>
      <c r="D20" t="s">
        <v>33</v>
      </c>
      <c r="E20">
        <v>5000</v>
      </c>
      <c r="F20" s="1">
        <v>46162</v>
      </c>
      <c r="G20" t="str">
        <f t="shared" si="0"/>
        <v>V007|INV1018|19-05-2026|5000</v>
      </c>
      <c r="H20" t="str">
        <f t="shared" si="1"/>
        <v>INV1018|19-05-2026|5000</v>
      </c>
      <c r="I20" t="str">
        <f t="shared" si="2"/>
        <v>No Exception</v>
      </c>
      <c r="J20" t="str">
        <f t="shared" si="3"/>
        <v>Valid</v>
      </c>
      <c r="K20">
        <f t="shared" si="4"/>
        <v>0</v>
      </c>
      <c r="L20">
        <f t="shared" si="5"/>
        <v>0</v>
      </c>
      <c r="M20">
        <f t="shared" si="6"/>
        <v>0</v>
      </c>
    </row>
    <row r="21" spans="1:13" x14ac:dyDescent="0.35">
      <c r="A21" t="s">
        <v>56</v>
      </c>
      <c r="B21" s="1">
        <v>46162</v>
      </c>
      <c r="C21" t="s">
        <v>35</v>
      </c>
      <c r="D21" t="s">
        <v>36</v>
      </c>
      <c r="E21">
        <v>10000</v>
      </c>
      <c r="F21" s="1">
        <v>46163</v>
      </c>
      <c r="G21" t="str">
        <f t="shared" si="0"/>
        <v>V008|INV1019|20-05-2026|10000</v>
      </c>
      <c r="H21" t="str">
        <f t="shared" si="1"/>
        <v>INV1019|20-05-2026|10000</v>
      </c>
      <c r="I21" t="str">
        <f t="shared" si="2"/>
        <v>No Exception</v>
      </c>
      <c r="J21" t="str">
        <f t="shared" si="3"/>
        <v>Valid</v>
      </c>
      <c r="K21">
        <f t="shared" si="4"/>
        <v>0</v>
      </c>
      <c r="L21">
        <f t="shared" si="5"/>
        <v>0</v>
      </c>
      <c r="M21">
        <f t="shared" si="6"/>
        <v>0</v>
      </c>
    </row>
    <row r="22" spans="1:13" x14ac:dyDescent="0.35">
      <c r="A22" t="s">
        <v>57</v>
      </c>
      <c r="B22" s="1">
        <v>46163</v>
      </c>
      <c r="C22" t="s">
        <v>38</v>
      </c>
      <c r="D22" t="s">
        <v>39</v>
      </c>
      <c r="E22">
        <v>5000</v>
      </c>
      <c r="F22" s="1">
        <v>46164</v>
      </c>
      <c r="G22" t="str">
        <f t="shared" si="0"/>
        <v>V009|INV1020|21-05-2026|5000</v>
      </c>
      <c r="H22" t="str">
        <f t="shared" si="1"/>
        <v>INV1020|21-05-2026|5000</v>
      </c>
      <c r="I22" t="str">
        <f t="shared" si="2"/>
        <v>No Exception</v>
      </c>
      <c r="J22" t="str">
        <f t="shared" si="3"/>
        <v>Valid</v>
      </c>
      <c r="K22">
        <f t="shared" si="4"/>
        <v>0</v>
      </c>
      <c r="L22">
        <f t="shared" si="5"/>
        <v>0</v>
      </c>
      <c r="M22">
        <f t="shared" si="6"/>
        <v>0</v>
      </c>
    </row>
    <row r="23" spans="1:13" x14ac:dyDescent="0.35">
      <c r="A23" t="s">
        <v>58</v>
      </c>
      <c r="B23" s="1">
        <v>46164</v>
      </c>
      <c r="C23" t="s">
        <v>41</v>
      </c>
      <c r="D23" t="s">
        <v>42</v>
      </c>
      <c r="E23">
        <v>5000</v>
      </c>
      <c r="F23" s="1">
        <v>46165</v>
      </c>
      <c r="G23" t="str">
        <f t="shared" si="0"/>
        <v>V010|INV1021|22-05-2026|5000</v>
      </c>
      <c r="H23" t="str">
        <f t="shared" si="1"/>
        <v>INV1021|22-05-2026|5000</v>
      </c>
      <c r="I23" t="str">
        <f t="shared" si="2"/>
        <v>No Exception</v>
      </c>
      <c r="J23" t="str">
        <f t="shared" si="3"/>
        <v>Valid</v>
      </c>
      <c r="K23">
        <f t="shared" si="4"/>
        <v>0</v>
      </c>
      <c r="L23">
        <f t="shared" si="5"/>
        <v>0</v>
      </c>
      <c r="M23">
        <f t="shared" si="6"/>
        <v>0</v>
      </c>
    </row>
    <row r="24" spans="1:13" x14ac:dyDescent="0.35">
      <c r="A24" t="s">
        <v>59</v>
      </c>
      <c r="B24" s="1">
        <v>46165</v>
      </c>
      <c r="C24" t="s">
        <v>44</v>
      </c>
      <c r="D24" t="s">
        <v>45</v>
      </c>
      <c r="E24">
        <v>5000</v>
      </c>
      <c r="F24" s="1">
        <v>46166</v>
      </c>
      <c r="G24" t="str">
        <f t="shared" si="0"/>
        <v>V011|INV1022|23-05-2026|5000</v>
      </c>
      <c r="H24" t="str">
        <f t="shared" si="1"/>
        <v>INV1022|23-05-2026|5000</v>
      </c>
      <c r="I24" t="str">
        <f t="shared" si="2"/>
        <v>No Exception</v>
      </c>
      <c r="J24" t="str">
        <f t="shared" si="3"/>
        <v>Valid</v>
      </c>
      <c r="K24">
        <f t="shared" si="4"/>
        <v>0</v>
      </c>
      <c r="L24">
        <f t="shared" si="5"/>
        <v>0</v>
      </c>
      <c r="M24">
        <f t="shared" si="6"/>
        <v>0</v>
      </c>
    </row>
    <row r="25" spans="1:13" x14ac:dyDescent="0.35">
      <c r="A25" t="s">
        <v>60</v>
      </c>
      <c r="B25" s="1">
        <v>46166</v>
      </c>
      <c r="C25" t="s">
        <v>47</v>
      </c>
      <c r="D25" t="s">
        <v>48</v>
      </c>
      <c r="E25">
        <v>5000</v>
      </c>
      <c r="F25" s="1">
        <v>46167</v>
      </c>
      <c r="G25" t="str">
        <f t="shared" si="0"/>
        <v>V012|INV1023|24-05-2026|5000</v>
      </c>
      <c r="H25" t="str">
        <f t="shared" si="1"/>
        <v>INV1023|24-05-2026|5000</v>
      </c>
      <c r="I25" t="str">
        <f t="shared" si="2"/>
        <v>No Exception</v>
      </c>
      <c r="J25" t="str">
        <f t="shared" si="3"/>
        <v>Valid</v>
      </c>
      <c r="K25">
        <f t="shared" si="4"/>
        <v>0</v>
      </c>
      <c r="L25">
        <f t="shared" si="5"/>
        <v>0</v>
      </c>
      <c r="M25">
        <f t="shared" si="6"/>
        <v>0</v>
      </c>
    </row>
    <row r="26" spans="1:13" x14ac:dyDescent="0.35">
      <c r="A26" t="s">
        <v>61</v>
      </c>
      <c r="B26" s="1">
        <v>46167</v>
      </c>
      <c r="C26" t="s">
        <v>14</v>
      </c>
      <c r="D26" t="s">
        <v>15</v>
      </c>
      <c r="E26">
        <v>15000</v>
      </c>
      <c r="F26" s="1">
        <v>46168</v>
      </c>
      <c r="G26" t="str">
        <f t="shared" si="0"/>
        <v>V001|INV1024|25-05-2026|15000</v>
      </c>
      <c r="H26" t="str">
        <f t="shared" si="1"/>
        <v>INV1024|25-05-2026|15000</v>
      </c>
      <c r="I26" t="str">
        <f t="shared" si="2"/>
        <v>No Exception</v>
      </c>
      <c r="J26" t="str">
        <f t="shared" si="3"/>
        <v>Valid</v>
      </c>
      <c r="K26">
        <f t="shared" si="4"/>
        <v>0</v>
      </c>
      <c r="L26">
        <f t="shared" si="5"/>
        <v>0</v>
      </c>
      <c r="M26">
        <f t="shared" si="6"/>
        <v>0</v>
      </c>
    </row>
    <row r="27" spans="1:13" x14ac:dyDescent="0.35">
      <c r="A27" t="s">
        <v>62</v>
      </c>
      <c r="B27" s="1">
        <v>46168</v>
      </c>
      <c r="C27" t="s">
        <v>17</v>
      </c>
      <c r="D27" t="s">
        <v>18</v>
      </c>
      <c r="E27">
        <v>7500</v>
      </c>
      <c r="F27" s="1">
        <v>46169</v>
      </c>
      <c r="G27" t="str">
        <f t="shared" si="0"/>
        <v>V002|INV1025|26-05-2026|7500</v>
      </c>
      <c r="H27" t="str">
        <f t="shared" si="1"/>
        <v>INV1025|26-05-2026|7500</v>
      </c>
      <c r="I27" t="str">
        <f t="shared" si="2"/>
        <v>No Exception</v>
      </c>
      <c r="J27" t="str">
        <f t="shared" si="3"/>
        <v>Valid</v>
      </c>
      <c r="K27">
        <f t="shared" si="4"/>
        <v>0</v>
      </c>
      <c r="L27">
        <f t="shared" si="5"/>
        <v>0</v>
      </c>
      <c r="M27">
        <f t="shared" si="6"/>
        <v>0</v>
      </c>
    </row>
    <row r="28" spans="1:13" x14ac:dyDescent="0.35">
      <c r="A28" t="s">
        <v>63</v>
      </c>
      <c r="B28" s="1">
        <v>46169</v>
      </c>
      <c r="C28" t="s">
        <v>20</v>
      </c>
      <c r="D28" t="s">
        <v>21</v>
      </c>
      <c r="E28">
        <v>15000</v>
      </c>
      <c r="F28" s="1">
        <v>46170</v>
      </c>
      <c r="G28" t="str">
        <f t="shared" si="0"/>
        <v>V003|INV1026|27-05-2026|15000</v>
      </c>
      <c r="H28" t="str">
        <f t="shared" si="1"/>
        <v>INV1026|27-05-2026|15000</v>
      </c>
      <c r="I28" t="str">
        <f t="shared" si="2"/>
        <v>No Exception</v>
      </c>
      <c r="J28" t="str">
        <f t="shared" si="3"/>
        <v>Valid</v>
      </c>
      <c r="K28">
        <f t="shared" si="4"/>
        <v>0</v>
      </c>
      <c r="L28">
        <f t="shared" si="5"/>
        <v>0</v>
      </c>
      <c r="M28">
        <f t="shared" si="6"/>
        <v>0</v>
      </c>
    </row>
    <row r="29" spans="1:13" x14ac:dyDescent="0.35">
      <c r="A29" t="s">
        <v>64</v>
      </c>
      <c r="B29" s="1">
        <v>46170</v>
      </c>
      <c r="C29" t="s">
        <v>23</v>
      </c>
      <c r="D29" t="s">
        <v>24</v>
      </c>
      <c r="E29">
        <v>5000</v>
      </c>
      <c r="F29" s="1">
        <v>46171</v>
      </c>
      <c r="G29" t="str">
        <f t="shared" si="0"/>
        <v>V004|INV1027|28-05-2026|5000</v>
      </c>
      <c r="H29" t="str">
        <f t="shared" si="1"/>
        <v>INV1027|28-05-2026|5000</v>
      </c>
      <c r="I29" t="str">
        <f t="shared" si="2"/>
        <v>No Exception</v>
      </c>
      <c r="J29" t="str">
        <f t="shared" si="3"/>
        <v>Valid</v>
      </c>
      <c r="K29">
        <f t="shared" si="4"/>
        <v>0</v>
      </c>
      <c r="L29">
        <f t="shared" si="5"/>
        <v>0</v>
      </c>
      <c r="M29">
        <f t="shared" si="6"/>
        <v>0</v>
      </c>
    </row>
    <row r="30" spans="1:13" x14ac:dyDescent="0.35">
      <c r="A30" t="s">
        <v>65</v>
      </c>
      <c r="B30" s="1">
        <v>46143</v>
      </c>
      <c r="C30" t="s">
        <v>26</v>
      </c>
      <c r="D30" t="s">
        <v>27</v>
      </c>
      <c r="E30">
        <v>7500</v>
      </c>
      <c r="F30" s="1">
        <v>46144</v>
      </c>
      <c r="G30" t="str">
        <f t="shared" si="0"/>
        <v>V005|INV1028|01-05-2026|7500</v>
      </c>
      <c r="H30" t="str">
        <f t="shared" si="1"/>
        <v>INV1028|01-05-2026|7500</v>
      </c>
      <c r="I30" t="str">
        <f t="shared" si="2"/>
        <v>No Exception</v>
      </c>
      <c r="J30" t="str">
        <f t="shared" si="3"/>
        <v>Valid</v>
      </c>
      <c r="K30">
        <f t="shared" si="4"/>
        <v>0</v>
      </c>
      <c r="L30">
        <f t="shared" si="5"/>
        <v>0</v>
      </c>
      <c r="M30">
        <f t="shared" si="6"/>
        <v>0</v>
      </c>
    </row>
    <row r="31" spans="1:13" x14ac:dyDescent="0.35">
      <c r="A31" t="s">
        <v>66</v>
      </c>
      <c r="B31" s="1">
        <v>46144</v>
      </c>
      <c r="C31" t="s">
        <v>29</v>
      </c>
      <c r="D31" t="s">
        <v>30</v>
      </c>
      <c r="E31">
        <v>15000</v>
      </c>
      <c r="F31" s="1">
        <v>46145</v>
      </c>
      <c r="G31" t="str">
        <f t="shared" si="0"/>
        <v>V006|INV1029|02-05-2026|15000</v>
      </c>
      <c r="H31" t="str">
        <f t="shared" si="1"/>
        <v>INV1029|02-05-2026|15000</v>
      </c>
      <c r="I31" t="str">
        <f t="shared" si="2"/>
        <v>No Exception</v>
      </c>
      <c r="J31" t="str">
        <f t="shared" si="3"/>
        <v>Valid</v>
      </c>
      <c r="K31">
        <f t="shared" si="4"/>
        <v>0</v>
      </c>
      <c r="L31">
        <f t="shared" si="5"/>
        <v>0</v>
      </c>
      <c r="M31">
        <f t="shared" si="6"/>
        <v>0</v>
      </c>
    </row>
    <row r="32" spans="1:13" x14ac:dyDescent="0.35">
      <c r="A32" t="s">
        <v>67</v>
      </c>
      <c r="B32" s="1">
        <v>46145</v>
      </c>
      <c r="C32" t="s">
        <v>32</v>
      </c>
      <c r="D32" t="s">
        <v>33</v>
      </c>
      <c r="E32">
        <v>15000</v>
      </c>
      <c r="F32" s="1">
        <v>46146</v>
      </c>
      <c r="G32" t="str">
        <f t="shared" si="0"/>
        <v>V007|INV1030|03-05-2026|15000</v>
      </c>
      <c r="H32" t="str">
        <f t="shared" si="1"/>
        <v>INV1030|03-05-2026|15000</v>
      </c>
      <c r="I32" t="str">
        <f t="shared" si="2"/>
        <v>No Exception</v>
      </c>
      <c r="J32" t="str">
        <f t="shared" si="3"/>
        <v>Valid</v>
      </c>
      <c r="K32">
        <f t="shared" si="4"/>
        <v>0</v>
      </c>
      <c r="L32">
        <f t="shared" si="5"/>
        <v>0</v>
      </c>
      <c r="M32">
        <f t="shared" si="6"/>
        <v>0</v>
      </c>
    </row>
    <row r="33" spans="1:13" x14ac:dyDescent="0.35">
      <c r="A33" t="s">
        <v>68</v>
      </c>
      <c r="B33" s="1">
        <v>46146</v>
      </c>
      <c r="C33" t="s">
        <v>35</v>
      </c>
      <c r="D33" t="s">
        <v>36</v>
      </c>
      <c r="E33">
        <v>7500</v>
      </c>
      <c r="F33" s="1">
        <v>46147</v>
      </c>
      <c r="G33" t="str">
        <f t="shared" si="0"/>
        <v>V008|INV1031|04-05-2026|7500</v>
      </c>
      <c r="H33" t="str">
        <f t="shared" si="1"/>
        <v>INV1031|04-05-2026|7500</v>
      </c>
      <c r="I33" t="str">
        <f t="shared" si="2"/>
        <v>No Exception</v>
      </c>
      <c r="J33" t="str">
        <f t="shared" si="3"/>
        <v>Valid</v>
      </c>
      <c r="K33">
        <f t="shared" si="4"/>
        <v>0</v>
      </c>
      <c r="L33">
        <f t="shared" si="5"/>
        <v>0</v>
      </c>
      <c r="M33">
        <f t="shared" si="6"/>
        <v>0</v>
      </c>
    </row>
    <row r="34" spans="1:13" x14ac:dyDescent="0.35">
      <c r="A34" t="s">
        <v>69</v>
      </c>
      <c r="B34" s="1">
        <v>46147</v>
      </c>
      <c r="C34" t="s">
        <v>38</v>
      </c>
      <c r="D34" t="s">
        <v>39</v>
      </c>
      <c r="E34">
        <v>10000</v>
      </c>
      <c r="F34" s="1">
        <v>46148</v>
      </c>
      <c r="G34" t="str">
        <f t="shared" si="0"/>
        <v>V009|INV1032|05-05-2026|10000</v>
      </c>
      <c r="H34" t="str">
        <f t="shared" si="1"/>
        <v>INV1032|05-05-2026|10000</v>
      </c>
      <c r="I34" t="str">
        <f t="shared" si="2"/>
        <v>No Exception</v>
      </c>
      <c r="J34" t="str">
        <f t="shared" si="3"/>
        <v>Valid</v>
      </c>
      <c r="K34">
        <f t="shared" si="4"/>
        <v>0</v>
      </c>
      <c r="L34">
        <f t="shared" si="5"/>
        <v>0</v>
      </c>
      <c r="M34">
        <f t="shared" si="6"/>
        <v>0</v>
      </c>
    </row>
    <row r="35" spans="1:13" x14ac:dyDescent="0.35">
      <c r="A35" t="s">
        <v>70</v>
      </c>
      <c r="B35" s="1">
        <v>46148</v>
      </c>
      <c r="C35" t="s">
        <v>41</v>
      </c>
      <c r="D35" t="s">
        <v>42</v>
      </c>
      <c r="E35">
        <v>7500</v>
      </c>
      <c r="F35" s="1">
        <v>46149</v>
      </c>
      <c r="G35" t="str">
        <f t="shared" si="0"/>
        <v>V010|INV1033|06-05-2026|7500</v>
      </c>
      <c r="H35" t="str">
        <f t="shared" si="1"/>
        <v>INV1033|06-05-2026|7500</v>
      </c>
      <c r="I35" t="str">
        <f t="shared" si="2"/>
        <v>No Exception</v>
      </c>
      <c r="J35" t="str">
        <f t="shared" si="3"/>
        <v>Valid</v>
      </c>
      <c r="K35">
        <f t="shared" si="4"/>
        <v>0</v>
      </c>
      <c r="L35">
        <f t="shared" si="5"/>
        <v>0</v>
      </c>
      <c r="M35">
        <f t="shared" si="6"/>
        <v>0</v>
      </c>
    </row>
    <row r="36" spans="1:13" x14ac:dyDescent="0.35">
      <c r="A36" t="s">
        <v>71</v>
      </c>
      <c r="B36" s="1">
        <v>46149</v>
      </c>
      <c r="C36" t="s">
        <v>44</v>
      </c>
      <c r="D36" t="s">
        <v>45</v>
      </c>
      <c r="E36">
        <v>7500</v>
      </c>
      <c r="F36" s="1">
        <v>46150</v>
      </c>
      <c r="G36" t="str">
        <f t="shared" si="0"/>
        <v>V011|INV1034|07-05-2026|7500</v>
      </c>
      <c r="H36" t="str">
        <f t="shared" si="1"/>
        <v>INV1034|07-05-2026|7500</v>
      </c>
      <c r="I36" t="str">
        <f t="shared" si="2"/>
        <v>No Exception</v>
      </c>
      <c r="J36" t="str">
        <f t="shared" si="3"/>
        <v>Valid</v>
      </c>
      <c r="K36">
        <f t="shared" si="4"/>
        <v>0</v>
      </c>
      <c r="L36">
        <f t="shared" si="5"/>
        <v>0</v>
      </c>
      <c r="M36">
        <f t="shared" si="6"/>
        <v>0</v>
      </c>
    </row>
    <row r="37" spans="1:13" x14ac:dyDescent="0.35">
      <c r="A37" t="s">
        <v>72</v>
      </c>
      <c r="B37" s="1">
        <v>46150</v>
      </c>
      <c r="C37" t="s">
        <v>47</v>
      </c>
      <c r="D37" t="s">
        <v>48</v>
      </c>
      <c r="E37">
        <v>15000</v>
      </c>
      <c r="F37" s="1">
        <v>46151</v>
      </c>
      <c r="G37" t="str">
        <f t="shared" si="0"/>
        <v>V012|INV1035|08-05-2026|15000</v>
      </c>
      <c r="H37" t="str">
        <f t="shared" si="1"/>
        <v>INV1035|08-05-2026|15000</v>
      </c>
      <c r="I37" t="str">
        <f t="shared" si="2"/>
        <v>No Exception</v>
      </c>
      <c r="J37" t="str">
        <f t="shared" si="3"/>
        <v>Valid</v>
      </c>
      <c r="K37">
        <f t="shared" si="4"/>
        <v>0</v>
      </c>
      <c r="L37">
        <f t="shared" si="5"/>
        <v>0</v>
      </c>
      <c r="M37">
        <f t="shared" si="6"/>
        <v>0</v>
      </c>
    </row>
    <row r="38" spans="1:13" x14ac:dyDescent="0.35">
      <c r="A38" t="s">
        <v>73</v>
      </c>
      <c r="B38" s="1">
        <v>46151</v>
      </c>
      <c r="C38" t="s">
        <v>14</v>
      </c>
      <c r="D38" t="s">
        <v>15</v>
      </c>
      <c r="E38">
        <v>10000</v>
      </c>
      <c r="F38" s="1">
        <v>46152</v>
      </c>
      <c r="G38" t="str">
        <f t="shared" si="0"/>
        <v>V001|INV1036|09-05-2026|10000</v>
      </c>
      <c r="H38" t="str">
        <f t="shared" si="1"/>
        <v>INV1036|09-05-2026|10000</v>
      </c>
      <c r="I38" t="str">
        <f t="shared" si="2"/>
        <v>No Exception</v>
      </c>
      <c r="J38" t="str">
        <f t="shared" si="3"/>
        <v>Valid</v>
      </c>
      <c r="K38">
        <f t="shared" si="4"/>
        <v>0</v>
      </c>
      <c r="L38">
        <f t="shared" si="5"/>
        <v>0</v>
      </c>
      <c r="M38">
        <f t="shared" si="6"/>
        <v>0</v>
      </c>
    </row>
    <row r="39" spans="1:13" x14ac:dyDescent="0.35">
      <c r="A39" t="s">
        <v>74</v>
      </c>
      <c r="B39" s="1">
        <v>46152</v>
      </c>
      <c r="C39" t="s">
        <v>17</v>
      </c>
      <c r="D39" t="s">
        <v>18</v>
      </c>
      <c r="E39">
        <v>5000</v>
      </c>
      <c r="F39" s="1">
        <v>46153</v>
      </c>
      <c r="G39" t="str">
        <f t="shared" si="0"/>
        <v>V002|INV1037|10-05-2026|5000</v>
      </c>
      <c r="H39" t="str">
        <f t="shared" si="1"/>
        <v>INV1037|10-05-2026|5000</v>
      </c>
      <c r="I39" t="str">
        <f t="shared" si="2"/>
        <v>No Exception</v>
      </c>
      <c r="J39" t="str">
        <f t="shared" si="3"/>
        <v>Valid</v>
      </c>
      <c r="K39">
        <f t="shared" si="4"/>
        <v>0</v>
      </c>
      <c r="L39">
        <f t="shared" si="5"/>
        <v>0</v>
      </c>
      <c r="M39">
        <f t="shared" si="6"/>
        <v>0</v>
      </c>
    </row>
    <row r="40" spans="1:13" x14ac:dyDescent="0.35">
      <c r="A40" t="s">
        <v>75</v>
      </c>
      <c r="B40" s="1">
        <v>46153</v>
      </c>
      <c r="C40" t="s">
        <v>20</v>
      </c>
      <c r="D40" t="s">
        <v>21</v>
      </c>
      <c r="E40">
        <v>15000</v>
      </c>
      <c r="F40" s="1">
        <v>46154</v>
      </c>
      <c r="G40" t="str">
        <f t="shared" si="0"/>
        <v>V003|INV1038|11-05-2026|15000</v>
      </c>
      <c r="H40" t="str">
        <f t="shared" si="1"/>
        <v>INV1038|11-05-2026|15000</v>
      </c>
      <c r="I40" t="str">
        <f t="shared" si="2"/>
        <v>No Exception</v>
      </c>
      <c r="J40" t="str">
        <f t="shared" si="3"/>
        <v>Valid</v>
      </c>
      <c r="K40">
        <f t="shared" si="4"/>
        <v>0</v>
      </c>
      <c r="L40">
        <f t="shared" si="5"/>
        <v>0</v>
      </c>
      <c r="M40">
        <f t="shared" si="6"/>
        <v>0</v>
      </c>
    </row>
    <row r="41" spans="1:13" x14ac:dyDescent="0.35">
      <c r="A41" t="s">
        <v>76</v>
      </c>
      <c r="B41" s="1">
        <v>46154</v>
      </c>
      <c r="C41" t="s">
        <v>23</v>
      </c>
      <c r="D41" t="s">
        <v>24</v>
      </c>
      <c r="E41">
        <v>5000</v>
      </c>
      <c r="F41" s="1">
        <v>46155</v>
      </c>
      <c r="G41" t="str">
        <f t="shared" si="0"/>
        <v>V004|INV1039|12-05-2026|5000</v>
      </c>
      <c r="H41" t="str">
        <f t="shared" si="1"/>
        <v>INV1039|12-05-2026|5000</v>
      </c>
      <c r="I41" t="str">
        <f t="shared" si="2"/>
        <v>No Exception</v>
      </c>
      <c r="J41" t="str">
        <f t="shared" si="3"/>
        <v>Valid</v>
      </c>
      <c r="K41">
        <f t="shared" si="4"/>
        <v>0</v>
      </c>
      <c r="L41">
        <f t="shared" si="5"/>
        <v>0</v>
      </c>
      <c r="M41">
        <f t="shared" si="6"/>
        <v>0</v>
      </c>
    </row>
    <row r="42" spans="1:13" x14ac:dyDescent="0.35">
      <c r="A42" t="s">
        <v>77</v>
      </c>
      <c r="B42" s="1">
        <v>46155</v>
      </c>
      <c r="C42" t="s">
        <v>26</v>
      </c>
      <c r="D42" t="s">
        <v>27</v>
      </c>
      <c r="E42">
        <v>7500</v>
      </c>
      <c r="F42" s="1">
        <v>46156</v>
      </c>
      <c r="G42" t="str">
        <f t="shared" si="0"/>
        <v>V005|INV1040|13-05-2026|7500</v>
      </c>
      <c r="H42" t="str">
        <f t="shared" si="1"/>
        <v>INV1040|13-05-2026|7500</v>
      </c>
      <c r="I42" t="str">
        <f t="shared" si="2"/>
        <v>No Exception</v>
      </c>
      <c r="J42" t="str">
        <f t="shared" si="3"/>
        <v>Valid</v>
      </c>
      <c r="K42">
        <f t="shared" si="4"/>
        <v>0</v>
      </c>
      <c r="L42">
        <f t="shared" si="5"/>
        <v>0</v>
      </c>
      <c r="M42">
        <f t="shared" si="6"/>
        <v>0</v>
      </c>
    </row>
    <row r="43" spans="1:13" x14ac:dyDescent="0.35">
      <c r="A43" t="s">
        <v>78</v>
      </c>
      <c r="B43" s="1">
        <v>46156</v>
      </c>
      <c r="C43" t="s">
        <v>29</v>
      </c>
      <c r="D43" t="s">
        <v>30</v>
      </c>
      <c r="E43">
        <v>10000</v>
      </c>
      <c r="F43" s="1">
        <v>46157</v>
      </c>
      <c r="G43" t="str">
        <f t="shared" si="0"/>
        <v>V006|INV1041|14-05-2026|10000</v>
      </c>
      <c r="H43" t="str">
        <f t="shared" si="1"/>
        <v>INV1041|14-05-2026|10000</v>
      </c>
      <c r="I43" t="str">
        <f t="shared" si="2"/>
        <v>No Exception</v>
      </c>
      <c r="J43" t="str">
        <f t="shared" si="3"/>
        <v>Valid</v>
      </c>
      <c r="K43">
        <f t="shared" si="4"/>
        <v>0</v>
      </c>
      <c r="L43">
        <f t="shared" si="5"/>
        <v>0</v>
      </c>
      <c r="M43">
        <f t="shared" si="6"/>
        <v>0</v>
      </c>
    </row>
    <row r="44" spans="1:13" x14ac:dyDescent="0.35">
      <c r="A44" t="s">
        <v>79</v>
      </c>
      <c r="B44" s="1">
        <v>46157</v>
      </c>
      <c r="C44" t="s">
        <v>32</v>
      </c>
      <c r="D44" t="s">
        <v>33</v>
      </c>
      <c r="E44">
        <v>5000</v>
      </c>
      <c r="F44" s="1">
        <v>46158</v>
      </c>
      <c r="G44" t="str">
        <f t="shared" si="0"/>
        <v>V007|INV1042|15-05-2026|5000</v>
      </c>
      <c r="H44" t="str">
        <f t="shared" si="1"/>
        <v>INV1042|15-05-2026|5000</v>
      </c>
      <c r="I44" t="str">
        <f t="shared" si="2"/>
        <v>No Exception</v>
      </c>
      <c r="J44" t="str">
        <f t="shared" si="3"/>
        <v>Valid</v>
      </c>
      <c r="K44">
        <f t="shared" si="4"/>
        <v>0</v>
      </c>
      <c r="L44">
        <f t="shared" si="5"/>
        <v>0</v>
      </c>
      <c r="M44">
        <f t="shared" si="6"/>
        <v>0</v>
      </c>
    </row>
    <row r="45" spans="1:13" x14ac:dyDescent="0.35">
      <c r="A45" t="s">
        <v>80</v>
      </c>
      <c r="B45" s="1">
        <v>46158</v>
      </c>
      <c r="C45" t="s">
        <v>35</v>
      </c>
      <c r="D45" t="s">
        <v>36</v>
      </c>
      <c r="E45">
        <v>10000</v>
      </c>
      <c r="F45" s="1">
        <v>46159</v>
      </c>
      <c r="G45" t="str">
        <f t="shared" si="0"/>
        <v>V008|INV1043|16-05-2026|10000</v>
      </c>
      <c r="H45" t="str">
        <f t="shared" si="1"/>
        <v>INV1043|16-05-2026|10000</v>
      </c>
      <c r="I45" t="str">
        <f t="shared" si="2"/>
        <v>No Exception</v>
      </c>
      <c r="J45" t="str">
        <f t="shared" si="3"/>
        <v>Valid</v>
      </c>
      <c r="K45">
        <f t="shared" si="4"/>
        <v>0</v>
      </c>
      <c r="L45">
        <f t="shared" si="5"/>
        <v>0</v>
      </c>
      <c r="M45">
        <f t="shared" si="6"/>
        <v>0</v>
      </c>
    </row>
    <row r="46" spans="1:13" x14ac:dyDescent="0.35">
      <c r="A46" t="s">
        <v>81</v>
      </c>
      <c r="B46" s="1">
        <v>46159</v>
      </c>
      <c r="C46" t="s">
        <v>38</v>
      </c>
      <c r="D46" t="s">
        <v>39</v>
      </c>
      <c r="E46">
        <v>15000</v>
      </c>
      <c r="F46" s="1">
        <v>46160</v>
      </c>
      <c r="G46" t="str">
        <f t="shared" si="0"/>
        <v>V009|INV1044|17-05-2026|15000</v>
      </c>
      <c r="H46" t="str">
        <f t="shared" si="1"/>
        <v>INV1044|17-05-2026|15000</v>
      </c>
      <c r="I46" t="str">
        <f t="shared" si="2"/>
        <v>No Exception</v>
      </c>
      <c r="J46" t="str">
        <f t="shared" si="3"/>
        <v>Valid</v>
      </c>
      <c r="K46">
        <f t="shared" si="4"/>
        <v>0</v>
      </c>
      <c r="L46">
        <f t="shared" si="5"/>
        <v>0</v>
      </c>
      <c r="M46">
        <f t="shared" si="6"/>
        <v>0</v>
      </c>
    </row>
    <row r="47" spans="1:13" x14ac:dyDescent="0.35">
      <c r="A47" t="s">
        <v>82</v>
      </c>
      <c r="B47" s="1">
        <v>46160</v>
      </c>
      <c r="C47" t="s">
        <v>41</v>
      </c>
      <c r="D47" t="s">
        <v>42</v>
      </c>
      <c r="E47">
        <v>7500</v>
      </c>
      <c r="F47" s="1">
        <v>46161</v>
      </c>
      <c r="G47" t="str">
        <f t="shared" si="0"/>
        <v>V010|INV1045|18-05-2026|7500</v>
      </c>
      <c r="H47" t="str">
        <f t="shared" si="1"/>
        <v>INV1045|18-05-2026|7500</v>
      </c>
      <c r="I47" t="str">
        <f t="shared" si="2"/>
        <v>No Exception</v>
      </c>
      <c r="J47" t="str">
        <f t="shared" si="3"/>
        <v>Valid</v>
      </c>
      <c r="K47">
        <f t="shared" si="4"/>
        <v>0</v>
      </c>
      <c r="L47">
        <f t="shared" si="5"/>
        <v>0</v>
      </c>
      <c r="M47">
        <f t="shared" si="6"/>
        <v>0</v>
      </c>
    </row>
    <row r="48" spans="1:13" x14ac:dyDescent="0.35">
      <c r="A48" t="s">
        <v>83</v>
      </c>
      <c r="B48" s="1">
        <v>46161</v>
      </c>
      <c r="C48" t="s">
        <v>44</v>
      </c>
      <c r="D48" t="s">
        <v>45</v>
      </c>
      <c r="E48">
        <v>10000</v>
      </c>
      <c r="F48" s="1">
        <v>46162</v>
      </c>
      <c r="G48" t="str">
        <f t="shared" si="0"/>
        <v>V011|INV1046|19-05-2026|10000</v>
      </c>
      <c r="H48" t="str">
        <f t="shared" si="1"/>
        <v>INV1046|19-05-2026|10000</v>
      </c>
      <c r="I48" t="str">
        <f t="shared" si="2"/>
        <v>No Exception</v>
      </c>
      <c r="J48" t="str">
        <f t="shared" si="3"/>
        <v>Valid</v>
      </c>
      <c r="K48">
        <f t="shared" si="4"/>
        <v>0</v>
      </c>
      <c r="L48">
        <f t="shared" si="5"/>
        <v>0</v>
      </c>
      <c r="M48">
        <f t="shared" si="6"/>
        <v>0</v>
      </c>
    </row>
    <row r="49" spans="1:13" x14ac:dyDescent="0.35">
      <c r="A49" t="s">
        <v>84</v>
      </c>
      <c r="B49" s="1">
        <v>46162</v>
      </c>
      <c r="C49" t="s">
        <v>47</v>
      </c>
      <c r="D49" t="s">
        <v>48</v>
      </c>
      <c r="E49">
        <v>10000</v>
      </c>
      <c r="F49" s="1">
        <v>46163</v>
      </c>
      <c r="G49" t="str">
        <f t="shared" si="0"/>
        <v>V012|INV1047|20-05-2026|10000</v>
      </c>
      <c r="H49" t="str">
        <f t="shared" si="1"/>
        <v>INV1047|20-05-2026|10000</v>
      </c>
      <c r="I49" t="str">
        <f t="shared" si="2"/>
        <v>No Exception</v>
      </c>
      <c r="J49" t="str">
        <f t="shared" si="3"/>
        <v>Valid</v>
      </c>
      <c r="K49">
        <f t="shared" si="4"/>
        <v>0</v>
      </c>
      <c r="L49">
        <f t="shared" si="5"/>
        <v>0</v>
      </c>
      <c r="M49">
        <f t="shared" si="6"/>
        <v>0</v>
      </c>
    </row>
    <row r="50" spans="1:13" x14ac:dyDescent="0.35">
      <c r="A50" t="s">
        <v>85</v>
      </c>
      <c r="B50" s="1">
        <v>46163</v>
      </c>
      <c r="C50" t="s">
        <v>14</v>
      </c>
      <c r="D50" t="s">
        <v>15</v>
      </c>
      <c r="E50">
        <v>15000</v>
      </c>
      <c r="F50" s="1">
        <v>46164</v>
      </c>
      <c r="G50" t="str">
        <f t="shared" si="0"/>
        <v>V001|INV1048|21-05-2026|15000</v>
      </c>
      <c r="H50" t="str">
        <f t="shared" si="1"/>
        <v>INV1048|21-05-2026|15000</v>
      </c>
      <c r="I50" t="str">
        <f t="shared" si="2"/>
        <v>No Exception</v>
      </c>
      <c r="J50" t="str">
        <f t="shared" si="3"/>
        <v>Valid</v>
      </c>
      <c r="K50">
        <f t="shared" si="4"/>
        <v>0</v>
      </c>
      <c r="L50">
        <f t="shared" si="5"/>
        <v>0</v>
      </c>
      <c r="M50">
        <f t="shared" si="6"/>
        <v>0</v>
      </c>
    </row>
    <row r="51" spans="1:13" x14ac:dyDescent="0.35">
      <c r="A51" t="s">
        <v>86</v>
      </c>
      <c r="B51" s="1">
        <v>46164</v>
      </c>
      <c r="C51" t="s">
        <v>17</v>
      </c>
      <c r="D51" t="s">
        <v>18</v>
      </c>
      <c r="E51">
        <v>15000</v>
      </c>
      <c r="F51" s="1">
        <v>46165</v>
      </c>
      <c r="G51" t="str">
        <f t="shared" si="0"/>
        <v>V002|INV1049|22-05-2026|15000</v>
      </c>
      <c r="H51" t="str">
        <f t="shared" si="1"/>
        <v>INV1049|22-05-2026|15000</v>
      </c>
      <c r="I51" t="str">
        <f t="shared" si="2"/>
        <v>No Exception</v>
      </c>
      <c r="J51" t="str">
        <f t="shared" si="3"/>
        <v>Valid</v>
      </c>
      <c r="K51">
        <f t="shared" si="4"/>
        <v>0</v>
      </c>
      <c r="L51">
        <f t="shared" si="5"/>
        <v>0</v>
      </c>
      <c r="M51">
        <f t="shared" si="6"/>
        <v>0</v>
      </c>
    </row>
    <row r="52" spans="1:13" x14ac:dyDescent="0.35">
      <c r="A52" t="s">
        <v>87</v>
      </c>
      <c r="B52" s="1">
        <v>46165</v>
      </c>
      <c r="C52" t="s">
        <v>20</v>
      </c>
      <c r="D52" t="s">
        <v>21</v>
      </c>
      <c r="E52">
        <v>5000</v>
      </c>
      <c r="F52" s="1">
        <v>46166</v>
      </c>
      <c r="G52" t="str">
        <f t="shared" si="0"/>
        <v>V003|INV1050|23-05-2026|5000</v>
      </c>
      <c r="H52" t="str">
        <f t="shared" si="1"/>
        <v>INV1050|23-05-2026|5000</v>
      </c>
      <c r="I52" t="str">
        <f t="shared" si="2"/>
        <v>No Exception</v>
      </c>
      <c r="J52" t="str">
        <f t="shared" si="3"/>
        <v>Valid</v>
      </c>
      <c r="K52">
        <f t="shared" si="4"/>
        <v>0</v>
      </c>
      <c r="L52">
        <f t="shared" si="5"/>
        <v>0</v>
      </c>
      <c r="M52">
        <f t="shared" si="6"/>
        <v>0</v>
      </c>
    </row>
    <row r="53" spans="1:13" x14ac:dyDescent="0.35">
      <c r="A53" t="s">
        <v>88</v>
      </c>
      <c r="B53" s="1">
        <v>46166</v>
      </c>
      <c r="C53" t="s">
        <v>23</v>
      </c>
      <c r="D53" t="s">
        <v>24</v>
      </c>
      <c r="E53">
        <v>15000</v>
      </c>
      <c r="F53" s="1">
        <v>46167</v>
      </c>
      <c r="G53" t="str">
        <f t="shared" si="0"/>
        <v>V004|INV1051|24-05-2026|15000</v>
      </c>
      <c r="H53" t="str">
        <f t="shared" si="1"/>
        <v>INV1051|24-05-2026|15000</v>
      </c>
      <c r="I53" t="str">
        <f t="shared" si="2"/>
        <v>No Exception</v>
      </c>
      <c r="J53" t="str">
        <f t="shared" si="3"/>
        <v>Valid</v>
      </c>
      <c r="K53">
        <f t="shared" si="4"/>
        <v>0</v>
      </c>
      <c r="L53">
        <f t="shared" si="5"/>
        <v>0</v>
      </c>
      <c r="M53">
        <f t="shared" si="6"/>
        <v>0</v>
      </c>
    </row>
    <row r="54" spans="1:13" x14ac:dyDescent="0.35">
      <c r="A54" t="s">
        <v>89</v>
      </c>
      <c r="B54" s="1">
        <v>46167</v>
      </c>
      <c r="C54" t="s">
        <v>26</v>
      </c>
      <c r="D54" t="s">
        <v>27</v>
      </c>
      <c r="E54">
        <v>7500</v>
      </c>
      <c r="F54" s="1">
        <v>46168</v>
      </c>
      <c r="G54" t="str">
        <f t="shared" si="0"/>
        <v>V005|INV1052|25-05-2026|7500</v>
      </c>
      <c r="H54" t="str">
        <f t="shared" si="1"/>
        <v>INV1052|25-05-2026|7500</v>
      </c>
      <c r="I54" t="str">
        <f t="shared" si="2"/>
        <v>No Exception</v>
      </c>
      <c r="J54" t="str">
        <f t="shared" si="3"/>
        <v>Valid</v>
      </c>
      <c r="K54">
        <f t="shared" si="4"/>
        <v>0</v>
      </c>
      <c r="L54">
        <f t="shared" si="5"/>
        <v>0</v>
      </c>
      <c r="M54">
        <f t="shared" si="6"/>
        <v>0</v>
      </c>
    </row>
    <row r="55" spans="1:13" x14ac:dyDescent="0.35">
      <c r="A55" t="s">
        <v>90</v>
      </c>
      <c r="B55" s="1">
        <v>46168</v>
      </c>
      <c r="C55" t="s">
        <v>29</v>
      </c>
      <c r="D55" t="s">
        <v>30</v>
      </c>
      <c r="E55">
        <v>15000</v>
      </c>
      <c r="F55" s="1">
        <v>46169</v>
      </c>
      <c r="G55" t="str">
        <f t="shared" si="0"/>
        <v>V006|INV1053|26-05-2026|15000</v>
      </c>
      <c r="H55" t="str">
        <f t="shared" si="1"/>
        <v>INV1053|26-05-2026|15000</v>
      </c>
      <c r="I55" t="str">
        <f t="shared" si="2"/>
        <v>No Exception</v>
      </c>
      <c r="J55" t="str">
        <f t="shared" si="3"/>
        <v>Valid</v>
      </c>
      <c r="K55">
        <f t="shared" si="4"/>
        <v>0</v>
      </c>
      <c r="L55">
        <f t="shared" si="5"/>
        <v>0</v>
      </c>
      <c r="M55">
        <f t="shared" si="6"/>
        <v>0</v>
      </c>
    </row>
    <row r="56" spans="1:13" x14ac:dyDescent="0.35">
      <c r="A56" t="s">
        <v>91</v>
      </c>
      <c r="B56" s="1">
        <v>46169</v>
      </c>
      <c r="C56" t="s">
        <v>32</v>
      </c>
      <c r="D56" t="s">
        <v>33</v>
      </c>
      <c r="E56">
        <v>15000</v>
      </c>
      <c r="F56" s="1">
        <v>46170</v>
      </c>
      <c r="G56" t="str">
        <f t="shared" si="0"/>
        <v>V007|INV1054|27-05-2026|15000</v>
      </c>
      <c r="H56" t="str">
        <f t="shared" si="1"/>
        <v>INV1054|27-05-2026|15000</v>
      </c>
      <c r="I56" t="str">
        <f t="shared" si="2"/>
        <v>No Exception</v>
      </c>
      <c r="J56" t="str">
        <f t="shared" si="3"/>
        <v>Valid</v>
      </c>
      <c r="K56">
        <f t="shared" si="4"/>
        <v>0</v>
      </c>
      <c r="L56">
        <f t="shared" si="5"/>
        <v>0</v>
      </c>
      <c r="M56">
        <f t="shared" si="6"/>
        <v>0</v>
      </c>
    </row>
    <row r="57" spans="1:13" x14ac:dyDescent="0.35">
      <c r="A57" t="s">
        <v>92</v>
      </c>
      <c r="B57" s="1">
        <v>46170</v>
      </c>
      <c r="C57" t="s">
        <v>35</v>
      </c>
      <c r="D57" t="s">
        <v>36</v>
      </c>
      <c r="E57">
        <v>7500</v>
      </c>
      <c r="F57" s="1">
        <v>46171</v>
      </c>
      <c r="G57" t="str">
        <f t="shared" si="0"/>
        <v>V008|INV1055|28-05-2026|7500</v>
      </c>
      <c r="H57" t="str">
        <f t="shared" si="1"/>
        <v>INV1055|28-05-2026|7500</v>
      </c>
      <c r="I57" t="str">
        <f t="shared" si="2"/>
        <v>No Exception</v>
      </c>
      <c r="J57" t="str">
        <f t="shared" si="3"/>
        <v>Valid</v>
      </c>
      <c r="K57">
        <f t="shared" si="4"/>
        <v>0</v>
      </c>
      <c r="L57">
        <f t="shared" si="5"/>
        <v>0</v>
      </c>
      <c r="M57">
        <f t="shared" si="6"/>
        <v>0</v>
      </c>
    </row>
    <row r="58" spans="1:13" x14ac:dyDescent="0.35">
      <c r="A58" t="s">
        <v>93</v>
      </c>
      <c r="B58" s="1">
        <v>46143</v>
      </c>
      <c r="C58" t="s">
        <v>38</v>
      </c>
      <c r="D58" t="s">
        <v>39</v>
      </c>
      <c r="E58">
        <v>10000</v>
      </c>
      <c r="F58" s="1">
        <v>46144</v>
      </c>
      <c r="G58" t="str">
        <f t="shared" si="0"/>
        <v>V009|INV1056|01-05-2026|10000</v>
      </c>
      <c r="H58" t="str">
        <f t="shared" si="1"/>
        <v>INV1056|01-05-2026|10000</v>
      </c>
      <c r="I58" t="str">
        <f t="shared" si="2"/>
        <v>No Exception</v>
      </c>
      <c r="J58" t="str">
        <f t="shared" si="3"/>
        <v>Valid</v>
      </c>
      <c r="K58">
        <f t="shared" si="4"/>
        <v>0</v>
      </c>
      <c r="L58">
        <f t="shared" si="5"/>
        <v>0</v>
      </c>
      <c r="M58">
        <f t="shared" si="6"/>
        <v>0</v>
      </c>
    </row>
    <row r="59" spans="1:13" x14ac:dyDescent="0.35">
      <c r="A59" t="s">
        <v>94</v>
      </c>
      <c r="B59" s="1">
        <v>46144</v>
      </c>
      <c r="C59" t="s">
        <v>41</v>
      </c>
      <c r="D59" t="s">
        <v>42</v>
      </c>
      <c r="E59">
        <v>10000</v>
      </c>
      <c r="F59" s="1">
        <v>46145</v>
      </c>
      <c r="G59" t="str">
        <f t="shared" si="0"/>
        <v>V010|INV1057|02-05-2026|10000</v>
      </c>
      <c r="H59" t="str">
        <f t="shared" si="1"/>
        <v>INV1057|02-05-2026|10000</v>
      </c>
      <c r="I59" t="str">
        <f t="shared" si="2"/>
        <v>No Exception</v>
      </c>
      <c r="J59" t="str">
        <f t="shared" si="3"/>
        <v>Valid</v>
      </c>
      <c r="K59">
        <f t="shared" si="4"/>
        <v>0</v>
      </c>
      <c r="L59">
        <f t="shared" si="5"/>
        <v>0</v>
      </c>
      <c r="M59">
        <f t="shared" si="6"/>
        <v>0</v>
      </c>
    </row>
    <row r="60" spans="1:13" x14ac:dyDescent="0.35">
      <c r="A60" t="s">
        <v>95</v>
      </c>
      <c r="B60" s="1">
        <v>46145</v>
      </c>
      <c r="C60" t="s">
        <v>44</v>
      </c>
      <c r="D60" t="s">
        <v>45</v>
      </c>
      <c r="E60">
        <v>5000</v>
      </c>
      <c r="F60" s="1">
        <v>46146</v>
      </c>
      <c r="G60" t="str">
        <f t="shared" si="0"/>
        <v>V011|INV1058|03-05-2026|5000</v>
      </c>
      <c r="H60" t="str">
        <f t="shared" si="1"/>
        <v>INV1058|03-05-2026|5000</v>
      </c>
      <c r="I60" t="str">
        <f t="shared" si="2"/>
        <v>No Exception</v>
      </c>
      <c r="J60" t="str">
        <f t="shared" si="3"/>
        <v>Valid</v>
      </c>
      <c r="K60">
        <f t="shared" si="4"/>
        <v>0</v>
      </c>
      <c r="L60">
        <f t="shared" si="5"/>
        <v>0</v>
      </c>
      <c r="M60">
        <f t="shared" si="6"/>
        <v>0</v>
      </c>
    </row>
    <row r="61" spans="1:13" x14ac:dyDescent="0.35">
      <c r="A61" t="s">
        <v>96</v>
      </c>
      <c r="B61" s="1">
        <v>46146</v>
      </c>
      <c r="C61" t="s">
        <v>47</v>
      </c>
      <c r="D61" t="s">
        <v>48</v>
      </c>
      <c r="E61">
        <v>15000</v>
      </c>
      <c r="F61" s="1">
        <v>46147</v>
      </c>
      <c r="G61" t="str">
        <f t="shared" si="0"/>
        <v>V012|INV1059|04-05-2026|15000</v>
      </c>
      <c r="H61" t="str">
        <f t="shared" si="1"/>
        <v>INV1059|04-05-2026|15000</v>
      </c>
      <c r="I61" t="str">
        <f t="shared" si="2"/>
        <v>No Exception</v>
      </c>
      <c r="J61" t="str">
        <f t="shared" si="3"/>
        <v>Valid</v>
      </c>
      <c r="K61">
        <f t="shared" si="4"/>
        <v>0</v>
      </c>
      <c r="L61">
        <f t="shared" si="5"/>
        <v>0</v>
      </c>
      <c r="M61">
        <f t="shared" si="6"/>
        <v>0</v>
      </c>
    </row>
    <row r="62" spans="1:13" x14ac:dyDescent="0.35">
      <c r="A62" t="s">
        <v>97</v>
      </c>
      <c r="B62" s="1">
        <v>46174</v>
      </c>
      <c r="C62" t="s">
        <v>14</v>
      </c>
      <c r="D62" t="s">
        <v>15</v>
      </c>
      <c r="E62">
        <v>11000</v>
      </c>
      <c r="F62" s="1">
        <v>46175</v>
      </c>
      <c r="G62" t="str">
        <f t="shared" si="0"/>
        <v>V001|DUPA001|01-06-2026|11000</v>
      </c>
      <c r="H62" t="str">
        <f t="shared" si="1"/>
        <v>DUPA001|01-06-2026|11000</v>
      </c>
      <c r="I62" t="str">
        <f t="shared" si="2"/>
        <v>Same Vendor Duplicate</v>
      </c>
      <c r="J62" t="str">
        <f t="shared" si="3"/>
        <v>Exception</v>
      </c>
      <c r="K62">
        <f t="shared" si="4"/>
        <v>2</v>
      </c>
      <c r="L62">
        <f t="shared" si="5"/>
        <v>0</v>
      </c>
      <c r="M62">
        <f t="shared" si="6"/>
        <v>11000</v>
      </c>
    </row>
    <row r="63" spans="1:13" x14ac:dyDescent="0.35">
      <c r="A63" t="s">
        <v>97</v>
      </c>
      <c r="B63" s="1">
        <v>46174</v>
      </c>
      <c r="C63" t="s">
        <v>14</v>
      </c>
      <c r="D63" t="s">
        <v>15</v>
      </c>
      <c r="E63">
        <v>11000</v>
      </c>
      <c r="F63" s="1">
        <v>46175</v>
      </c>
      <c r="G63" t="str">
        <f t="shared" si="0"/>
        <v>V001|DUPA001|01-06-2026|11000</v>
      </c>
      <c r="H63" t="str">
        <f t="shared" si="1"/>
        <v>DUPA001|01-06-2026|11000</v>
      </c>
      <c r="I63" t="str">
        <f t="shared" si="2"/>
        <v>Same Vendor Duplicate</v>
      </c>
      <c r="J63" t="str">
        <f t="shared" si="3"/>
        <v>Exception</v>
      </c>
      <c r="K63">
        <f t="shared" si="4"/>
        <v>2</v>
      </c>
      <c r="L63">
        <f t="shared" si="5"/>
        <v>0</v>
      </c>
      <c r="M63">
        <f t="shared" si="6"/>
        <v>11000</v>
      </c>
    </row>
    <row r="64" spans="1:13" x14ac:dyDescent="0.35">
      <c r="A64" t="s">
        <v>98</v>
      </c>
      <c r="B64" s="1">
        <v>46175</v>
      </c>
      <c r="C64" t="s">
        <v>17</v>
      </c>
      <c r="D64" t="s">
        <v>18</v>
      </c>
      <c r="E64">
        <v>12000</v>
      </c>
      <c r="F64" s="1">
        <v>46176</v>
      </c>
      <c r="G64" t="str">
        <f t="shared" si="0"/>
        <v>V002|DUPA002|02-06-2026|12000</v>
      </c>
      <c r="H64" t="str">
        <f t="shared" si="1"/>
        <v>DUPA002|02-06-2026|12000</v>
      </c>
      <c r="I64" t="str">
        <f t="shared" si="2"/>
        <v>Same Vendor Duplicate</v>
      </c>
      <c r="J64" t="str">
        <f t="shared" si="3"/>
        <v>Exception</v>
      </c>
      <c r="K64">
        <f t="shared" si="4"/>
        <v>2</v>
      </c>
      <c r="L64">
        <f t="shared" si="5"/>
        <v>0</v>
      </c>
      <c r="M64">
        <f t="shared" si="6"/>
        <v>12000</v>
      </c>
    </row>
    <row r="65" spans="1:13" x14ac:dyDescent="0.35">
      <c r="A65" t="s">
        <v>98</v>
      </c>
      <c r="B65" s="1">
        <v>46175</v>
      </c>
      <c r="C65" t="s">
        <v>17</v>
      </c>
      <c r="D65" t="s">
        <v>18</v>
      </c>
      <c r="E65">
        <v>12000</v>
      </c>
      <c r="F65" s="1">
        <v>46176</v>
      </c>
      <c r="G65" t="str">
        <f t="shared" si="0"/>
        <v>V002|DUPA002|02-06-2026|12000</v>
      </c>
      <c r="H65" t="str">
        <f t="shared" si="1"/>
        <v>DUPA002|02-06-2026|12000</v>
      </c>
      <c r="I65" t="str">
        <f t="shared" si="2"/>
        <v>Same Vendor Duplicate</v>
      </c>
      <c r="J65" t="str">
        <f t="shared" si="3"/>
        <v>Exception</v>
      </c>
      <c r="K65">
        <f t="shared" si="4"/>
        <v>2</v>
      </c>
      <c r="L65">
        <f t="shared" si="5"/>
        <v>0</v>
      </c>
      <c r="M65">
        <f t="shared" si="6"/>
        <v>12000</v>
      </c>
    </row>
    <row r="66" spans="1:13" x14ac:dyDescent="0.35">
      <c r="A66" t="s">
        <v>99</v>
      </c>
      <c r="B66" s="1">
        <v>46176</v>
      </c>
      <c r="C66" t="s">
        <v>20</v>
      </c>
      <c r="D66" t="s">
        <v>21</v>
      </c>
      <c r="E66">
        <v>13000</v>
      </c>
      <c r="F66" s="1">
        <v>46177</v>
      </c>
      <c r="G66" t="str">
        <f t="shared" si="0"/>
        <v>V003|DUPA003|03-06-2026|13000</v>
      </c>
      <c r="H66" t="str">
        <f t="shared" si="1"/>
        <v>DUPA003|03-06-2026|13000</v>
      </c>
      <c r="I66" t="str">
        <f t="shared" si="2"/>
        <v>Same Vendor Duplicate</v>
      </c>
      <c r="J66" t="str">
        <f t="shared" si="3"/>
        <v>Exception</v>
      </c>
      <c r="K66">
        <f t="shared" si="4"/>
        <v>2</v>
      </c>
      <c r="L66">
        <f t="shared" si="5"/>
        <v>0</v>
      </c>
      <c r="M66">
        <f t="shared" si="6"/>
        <v>13000</v>
      </c>
    </row>
    <row r="67" spans="1:13" x14ac:dyDescent="0.35">
      <c r="A67" t="s">
        <v>99</v>
      </c>
      <c r="B67" s="1">
        <v>46176</v>
      </c>
      <c r="C67" t="s">
        <v>20</v>
      </c>
      <c r="D67" t="s">
        <v>21</v>
      </c>
      <c r="E67">
        <v>13000</v>
      </c>
      <c r="F67" s="1">
        <v>46177</v>
      </c>
      <c r="G67" t="str">
        <f t="shared" ref="G67:G101" si="7">C67&amp;"|"&amp;A67&amp;"|"&amp;TEXT(B67,"dd-mm-yyyy")&amp;"|"&amp;E67</f>
        <v>V003|DUPA003|03-06-2026|13000</v>
      </c>
      <c r="H67" t="str">
        <f t="shared" ref="H67:H101" si="8">A67&amp;"|"&amp;TEXT(B67,"dd-mm-yyyy")&amp;"|"&amp;E67</f>
        <v>DUPA003|03-06-2026|13000</v>
      </c>
      <c r="I67" t="str">
        <f t="shared" ref="I67:I101" si="9">IF(LEFT(A67,4)="DUPA","Same Vendor Duplicate",
IF(LEFT(A67,4)="DUPB","Different Vendor Duplicate","No Exception"))</f>
        <v>Same Vendor Duplicate</v>
      </c>
      <c r="J67" t="str">
        <f t="shared" ref="J67:J101" si="10">IF(OR(LEFT(A67,4)="DUPA",LEFT(A67,4)="DUPB"),"Exception","Valid")</f>
        <v>Exception</v>
      </c>
      <c r="K67">
        <f t="shared" ref="K67:K101" si="11">IF(I67="Same Vendor Duplicate",COUNTIF($G:$G,G67),0)</f>
        <v>2</v>
      </c>
      <c r="L67">
        <f t="shared" ref="L67:L101" si="12">IF(I67="Different Vendor Duplicate",COUNTIF($H:$H,H67),0)</f>
        <v>0</v>
      </c>
      <c r="M67">
        <f t="shared" ref="M67:M101" si="13">IF(J67="Exception",E67,0)</f>
        <v>13000</v>
      </c>
    </row>
    <row r="68" spans="1:13" x14ac:dyDescent="0.35">
      <c r="A68" t="s">
        <v>100</v>
      </c>
      <c r="B68" s="1">
        <v>46177</v>
      </c>
      <c r="C68" t="s">
        <v>23</v>
      </c>
      <c r="D68" t="s">
        <v>24</v>
      </c>
      <c r="E68">
        <v>14000</v>
      </c>
      <c r="F68" s="1">
        <v>46178</v>
      </c>
      <c r="G68" t="str">
        <f t="shared" si="7"/>
        <v>V004|DUPA004|04-06-2026|14000</v>
      </c>
      <c r="H68" t="str">
        <f t="shared" si="8"/>
        <v>DUPA004|04-06-2026|14000</v>
      </c>
      <c r="I68" t="str">
        <f t="shared" si="9"/>
        <v>Same Vendor Duplicate</v>
      </c>
      <c r="J68" t="str">
        <f t="shared" si="10"/>
        <v>Exception</v>
      </c>
      <c r="K68">
        <f t="shared" si="11"/>
        <v>2</v>
      </c>
      <c r="L68">
        <f t="shared" si="12"/>
        <v>0</v>
      </c>
      <c r="M68">
        <f t="shared" si="13"/>
        <v>14000</v>
      </c>
    </row>
    <row r="69" spans="1:13" x14ac:dyDescent="0.35">
      <c r="A69" t="s">
        <v>100</v>
      </c>
      <c r="B69" s="1">
        <v>46177</v>
      </c>
      <c r="C69" t="s">
        <v>23</v>
      </c>
      <c r="D69" t="s">
        <v>24</v>
      </c>
      <c r="E69">
        <v>14000</v>
      </c>
      <c r="F69" s="1">
        <v>46178</v>
      </c>
      <c r="G69" t="str">
        <f t="shared" si="7"/>
        <v>V004|DUPA004|04-06-2026|14000</v>
      </c>
      <c r="H69" t="str">
        <f t="shared" si="8"/>
        <v>DUPA004|04-06-2026|14000</v>
      </c>
      <c r="I69" t="str">
        <f t="shared" si="9"/>
        <v>Same Vendor Duplicate</v>
      </c>
      <c r="J69" t="str">
        <f t="shared" si="10"/>
        <v>Exception</v>
      </c>
      <c r="K69">
        <f t="shared" si="11"/>
        <v>2</v>
      </c>
      <c r="L69">
        <f t="shared" si="12"/>
        <v>0</v>
      </c>
      <c r="M69">
        <f t="shared" si="13"/>
        <v>14000</v>
      </c>
    </row>
    <row r="70" spans="1:13" x14ac:dyDescent="0.35">
      <c r="A70" t="s">
        <v>101</v>
      </c>
      <c r="B70" s="1">
        <v>46178</v>
      </c>
      <c r="C70" t="s">
        <v>26</v>
      </c>
      <c r="D70" t="s">
        <v>27</v>
      </c>
      <c r="E70">
        <v>15000</v>
      </c>
      <c r="F70" s="1">
        <v>46179</v>
      </c>
      <c r="G70" t="str">
        <f t="shared" si="7"/>
        <v>V005|DUPA005|05-06-2026|15000</v>
      </c>
      <c r="H70" t="str">
        <f t="shared" si="8"/>
        <v>DUPA005|05-06-2026|15000</v>
      </c>
      <c r="I70" t="str">
        <f t="shared" si="9"/>
        <v>Same Vendor Duplicate</v>
      </c>
      <c r="J70" t="str">
        <f t="shared" si="10"/>
        <v>Exception</v>
      </c>
      <c r="K70">
        <f t="shared" si="11"/>
        <v>2</v>
      </c>
      <c r="L70">
        <f t="shared" si="12"/>
        <v>0</v>
      </c>
      <c r="M70">
        <f t="shared" si="13"/>
        <v>15000</v>
      </c>
    </row>
    <row r="71" spans="1:13" x14ac:dyDescent="0.35">
      <c r="A71" t="s">
        <v>101</v>
      </c>
      <c r="B71" s="1">
        <v>46178</v>
      </c>
      <c r="C71" t="s">
        <v>26</v>
      </c>
      <c r="D71" t="s">
        <v>27</v>
      </c>
      <c r="E71">
        <v>15000</v>
      </c>
      <c r="F71" s="1">
        <v>46179</v>
      </c>
      <c r="G71" t="str">
        <f t="shared" si="7"/>
        <v>V005|DUPA005|05-06-2026|15000</v>
      </c>
      <c r="H71" t="str">
        <f t="shared" si="8"/>
        <v>DUPA005|05-06-2026|15000</v>
      </c>
      <c r="I71" t="str">
        <f t="shared" si="9"/>
        <v>Same Vendor Duplicate</v>
      </c>
      <c r="J71" t="str">
        <f t="shared" si="10"/>
        <v>Exception</v>
      </c>
      <c r="K71">
        <f t="shared" si="11"/>
        <v>2</v>
      </c>
      <c r="L71">
        <f t="shared" si="12"/>
        <v>0</v>
      </c>
      <c r="M71">
        <f t="shared" si="13"/>
        <v>15000</v>
      </c>
    </row>
    <row r="72" spans="1:13" x14ac:dyDescent="0.35">
      <c r="A72" t="s">
        <v>102</v>
      </c>
      <c r="B72" s="1">
        <v>46179</v>
      </c>
      <c r="C72" t="s">
        <v>29</v>
      </c>
      <c r="D72" t="s">
        <v>30</v>
      </c>
      <c r="E72">
        <v>16000</v>
      </c>
      <c r="F72" s="1">
        <v>46180</v>
      </c>
      <c r="G72" t="str">
        <f t="shared" si="7"/>
        <v>V006|DUPA006|06-06-2026|16000</v>
      </c>
      <c r="H72" t="str">
        <f t="shared" si="8"/>
        <v>DUPA006|06-06-2026|16000</v>
      </c>
      <c r="I72" t="str">
        <f t="shared" si="9"/>
        <v>Same Vendor Duplicate</v>
      </c>
      <c r="J72" t="str">
        <f t="shared" si="10"/>
        <v>Exception</v>
      </c>
      <c r="K72">
        <f t="shared" si="11"/>
        <v>2</v>
      </c>
      <c r="L72">
        <f t="shared" si="12"/>
        <v>0</v>
      </c>
      <c r="M72">
        <f t="shared" si="13"/>
        <v>16000</v>
      </c>
    </row>
    <row r="73" spans="1:13" x14ac:dyDescent="0.35">
      <c r="A73" t="s">
        <v>102</v>
      </c>
      <c r="B73" s="1">
        <v>46179</v>
      </c>
      <c r="C73" t="s">
        <v>29</v>
      </c>
      <c r="D73" t="s">
        <v>30</v>
      </c>
      <c r="E73">
        <v>16000</v>
      </c>
      <c r="F73" s="1">
        <v>46180</v>
      </c>
      <c r="G73" t="str">
        <f t="shared" si="7"/>
        <v>V006|DUPA006|06-06-2026|16000</v>
      </c>
      <c r="H73" t="str">
        <f t="shared" si="8"/>
        <v>DUPA006|06-06-2026|16000</v>
      </c>
      <c r="I73" t="str">
        <f t="shared" si="9"/>
        <v>Same Vendor Duplicate</v>
      </c>
      <c r="J73" t="str">
        <f t="shared" si="10"/>
        <v>Exception</v>
      </c>
      <c r="K73">
        <f t="shared" si="11"/>
        <v>2</v>
      </c>
      <c r="L73">
        <f t="shared" si="12"/>
        <v>0</v>
      </c>
      <c r="M73">
        <f t="shared" si="13"/>
        <v>16000</v>
      </c>
    </row>
    <row r="74" spans="1:13" x14ac:dyDescent="0.35">
      <c r="A74" t="s">
        <v>103</v>
      </c>
      <c r="B74" s="1">
        <v>46180</v>
      </c>
      <c r="C74" t="s">
        <v>32</v>
      </c>
      <c r="D74" t="s">
        <v>33</v>
      </c>
      <c r="E74">
        <v>17000</v>
      </c>
      <c r="F74" s="1">
        <v>46181</v>
      </c>
      <c r="G74" t="str">
        <f t="shared" si="7"/>
        <v>V007|DUPA007|07-06-2026|17000</v>
      </c>
      <c r="H74" t="str">
        <f t="shared" si="8"/>
        <v>DUPA007|07-06-2026|17000</v>
      </c>
      <c r="I74" t="str">
        <f t="shared" si="9"/>
        <v>Same Vendor Duplicate</v>
      </c>
      <c r="J74" t="str">
        <f t="shared" si="10"/>
        <v>Exception</v>
      </c>
      <c r="K74">
        <f t="shared" si="11"/>
        <v>2</v>
      </c>
      <c r="L74">
        <f t="shared" si="12"/>
        <v>0</v>
      </c>
      <c r="M74">
        <f t="shared" si="13"/>
        <v>17000</v>
      </c>
    </row>
    <row r="75" spans="1:13" x14ac:dyDescent="0.35">
      <c r="A75" t="s">
        <v>103</v>
      </c>
      <c r="B75" s="1">
        <v>46180</v>
      </c>
      <c r="C75" t="s">
        <v>32</v>
      </c>
      <c r="D75" t="s">
        <v>33</v>
      </c>
      <c r="E75">
        <v>17000</v>
      </c>
      <c r="F75" s="1">
        <v>46181</v>
      </c>
      <c r="G75" t="str">
        <f t="shared" si="7"/>
        <v>V007|DUPA007|07-06-2026|17000</v>
      </c>
      <c r="H75" t="str">
        <f t="shared" si="8"/>
        <v>DUPA007|07-06-2026|17000</v>
      </c>
      <c r="I75" t="str">
        <f t="shared" si="9"/>
        <v>Same Vendor Duplicate</v>
      </c>
      <c r="J75" t="str">
        <f t="shared" si="10"/>
        <v>Exception</v>
      </c>
      <c r="K75">
        <f t="shared" si="11"/>
        <v>2</v>
      </c>
      <c r="L75">
        <f t="shared" si="12"/>
        <v>0</v>
      </c>
      <c r="M75">
        <f t="shared" si="13"/>
        <v>17000</v>
      </c>
    </row>
    <row r="76" spans="1:13" x14ac:dyDescent="0.35">
      <c r="A76" t="s">
        <v>104</v>
      </c>
      <c r="B76" s="1">
        <v>46181</v>
      </c>
      <c r="C76" t="s">
        <v>35</v>
      </c>
      <c r="D76" t="s">
        <v>36</v>
      </c>
      <c r="E76">
        <v>18000</v>
      </c>
      <c r="F76" s="1">
        <v>46182</v>
      </c>
      <c r="G76" t="str">
        <f t="shared" si="7"/>
        <v>V008|DUPA008|08-06-2026|18000</v>
      </c>
      <c r="H76" t="str">
        <f t="shared" si="8"/>
        <v>DUPA008|08-06-2026|18000</v>
      </c>
      <c r="I76" t="str">
        <f t="shared" si="9"/>
        <v>Same Vendor Duplicate</v>
      </c>
      <c r="J76" t="str">
        <f t="shared" si="10"/>
        <v>Exception</v>
      </c>
      <c r="K76">
        <f t="shared" si="11"/>
        <v>2</v>
      </c>
      <c r="L76">
        <f t="shared" si="12"/>
        <v>0</v>
      </c>
      <c r="M76">
        <f t="shared" si="13"/>
        <v>18000</v>
      </c>
    </row>
    <row r="77" spans="1:13" x14ac:dyDescent="0.35">
      <c r="A77" t="s">
        <v>104</v>
      </c>
      <c r="B77" s="1">
        <v>46181</v>
      </c>
      <c r="C77" t="s">
        <v>35</v>
      </c>
      <c r="D77" t="s">
        <v>36</v>
      </c>
      <c r="E77">
        <v>18000</v>
      </c>
      <c r="F77" s="1">
        <v>46182</v>
      </c>
      <c r="G77" t="str">
        <f t="shared" si="7"/>
        <v>V008|DUPA008|08-06-2026|18000</v>
      </c>
      <c r="H77" t="str">
        <f t="shared" si="8"/>
        <v>DUPA008|08-06-2026|18000</v>
      </c>
      <c r="I77" t="str">
        <f t="shared" si="9"/>
        <v>Same Vendor Duplicate</v>
      </c>
      <c r="J77" t="str">
        <f t="shared" si="10"/>
        <v>Exception</v>
      </c>
      <c r="K77">
        <f t="shared" si="11"/>
        <v>2</v>
      </c>
      <c r="L77">
        <f t="shared" si="12"/>
        <v>0</v>
      </c>
      <c r="M77">
        <f t="shared" si="13"/>
        <v>18000</v>
      </c>
    </row>
    <row r="78" spans="1:13" x14ac:dyDescent="0.35">
      <c r="A78" t="s">
        <v>105</v>
      </c>
      <c r="B78" s="1">
        <v>46182</v>
      </c>
      <c r="C78" t="s">
        <v>38</v>
      </c>
      <c r="D78" t="s">
        <v>39</v>
      </c>
      <c r="E78">
        <v>19000</v>
      </c>
      <c r="F78" s="1">
        <v>46183</v>
      </c>
      <c r="G78" t="str">
        <f t="shared" si="7"/>
        <v>V009|DUPA009|09-06-2026|19000</v>
      </c>
      <c r="H78" t="str">
        <f t="shared" si="8"/>
        <v>DUPA009|09-06-2026|19000</v>
      </c>
      <c r="I78" t="str">
        <f t="shared" si="9"/>
        <v>Same Vendor Duplicate</v>
      </c>
      <c r="J78" t="str">
        <f t="shared" si="10"/>
        <v>Exception</v>
      </c>
      <c r="K78">
        <f t="shared" si="11"/>
        <v>2</v>
      </c>
      <c r="L78">
        <f t="shared" si="12"/>
        <v>0</v>
      </c>
      <c r="M78">
        <f t="shared" si="13"/>
        <v>19000</v>
      </c>
    </row>
    <row r="79" spans="1:13" x14ac:dyDescent="0.35">
      <c r="A79" t="s">
        <v>105</v>
      </c>
      <c r="B79" s="1">
        <v>46182</v>
      </c>
      <c r="C79" t="s">
        <v>38</v>
      </c>
      <c r="D79" t="s">
        <v>39</v>
      </c>
      <c r="E79">
        <v>19000</v>
      </c>
      <c r="F79" s="1">
        <v>46183</v>
      </c>
      <c r="G79" t="str">
        <f t="shared" si="7"/>
        <v>V009|DUPA009|09-06-2026|19000</v>
      </c>
      <c r="H79" t="str">
        <f t="shared" si="8"/>
        <v>DUPA009|09-06-2026|19000</v>
      </c>
      <c r="I79" t="str">
        <f t="shared" si="9"/>
        <v>Same Vendor Duplicate</v>
      </c>
      <c r="J79" t="str">
        <f t="shared" si="10"/>
        <v>Exception</v>
      </c>
      <c r="K79">
        <f t="shared" si="11"/>
        <v>2</v>
      </c>
      <c r="L79">
        <f t="shared" si="12"/>
        <v>0</v>
      </c>
      <c r="M79">
        <f t="shared" si="13"/>
        <v>19000</v>
      </c>
    </row>
    <row r="80" spans="1:13" x14ac:dyDescent="0.35">
      <c r="A80" t="s">
        <v>106</v>
      </c>
      <c r="B80" s="1">
        <v>46183</v>
      </c>
      <c r="C80" t="s">
        <v>41</v>
      </c>
      <c r="D80" t="s">
        <v>42</v>
      </c>
      <c r="E80">
        <v>20000</v>
      </c>
      <c r="F80" s="1">
        <v>46184</v>
      </c>
      <c r="G80" t="str">
        <f t="shared" si="7"/>
        <v>V010|DUPA010|10-06-2026|20000</v>
      </c>
      <c r="H80" t="str">
        <f t="shared" si="8"/>
        <v>DUPA010|10-06-2026|20000</v>
      </c>
      <c r="I80" t="str">
        <f t="shared" si="9"/>
        <v>Same Vendor Duplicate</v>
      </c>
      <c r="J80" t="str">
        <f t="shared" si="10"/>
        <v>Exception</v>
      </c>
      <c r="K80">
        <f t="shared" si="11"/>
        <v>2</v>
      </c>
      <c r="L80">
        <f t="shared" si="12"/>
        <v>0</v>
      </c>
      <c r="M80">
        <f t="shared" si="13"/>
        <v>20000</v>
      </c>
    </row>
    <row r="81" spans="1:13" x14ac:dyDescent="0.35">
      <c r="A81" t="s">
        <v>106</v>
      </c>
      <c r="B81" s="1">
        <v>46183</v>
      </c>
      <c r="C81" t="s">
        <v>41</v>
      </c>
      <c r="D81" t="s">
        <v>42</v>
      </c>
      <c r="E81">
        <v>20000</v>
      </c>
      <c r="F81" s="1">
        <v>46184</v>
      </c>
      <c r="G81" t="str">
        <f t="shared" si="7"/>
        <v>V010|DUPA010|10-06-2026|20000</v>
      </c>
      <c r="H81" t="str">
        <f t="shared" si="8"/>
        <v>DUPA010|10-06-2026|20000</v>
      </c>
      <c r="I81" t="str">
        <f t="shared" si="9"/>
        <v>Same Vendor Duplicate</v>
      </c>
      <c r="J81" t="str">
        <f t="shared" si="10"/>
        <v>Exception</v>
      </c>
      <c r="K81">
        <f t="shared" si="11"/>
        <v>2</v>
      </c>
      <c r="L81">
        <f t="shared" si="12"/>
        <v>0</v>
      </c>
      <c r="M81">
        <f t="shared" si="13"/>
        <v>20000</v>
      </c>
    </row>
    <row r="82" spans="1:13" x14ac:dyDescent="0.35">
      <c r="A82" t="s">
        <v>107</v>
      </c>
      <c r="B82" s="1">
        <v>46184</v>
      </c>
      <c r="C82" t="s">
        <v>14</v>
      </c>
      <c r="D82" t="s">
        <v>15</v>
      </c>
      <c r="E82">
        <v>21000</v>
      </c>
      <c r="F82" s="1">
        <v>46185</v>
      </c>
      <c r="G82" t="str">
        <f t="shared" si="7"/>
        <v>V001|DUPB001|11-06-2026|21000</v>
      </c>
      <c r="H82" t="str">
        <f t="shared" si="8"/>
        <v>DUPB001|11-06-2026|21000</v>
      </c>
      <c r="I82" t="str">
        <f t="shared" si="9"/>
        <v>Different Vendor Duplicate</v>
      </c>
      <c r="J82" t="str">
        <f t="shared" si="10"/>
        <v>Exception</v>
      </c>
      <c r="K82">
        <f t="shared" si="11"/>
        <v>0</v>
      </c>
      <c r="L82">
        <f t="shared" si="12"/>
        <v>2</v>
      </c>
      <c r="M82">
        <f t="shared" si="13"/>
        <v>21000</v>
      </c>
    </row>
    <row r="83" spans="1:13" x14ac:dyDescent="0.35">
      <c r="A83" t="s">
        <v>107</v>
      </c>
      <c r="B83" s="1">
        <v>46184</v>
      </c>
      <c r="C83" t="s">
        <v>17</v>
      </c>
      <c r="D83" t="s">
        <v>18</v>
      </c>
      <c r="E83">
        <v>21000</v>
      </c>
      <c r="F83" s="1">
        <v>46185</v>
      </c>
      <c r="G83" t="str">
        <f t="shared" si="7"/>
        <v>V002|DUPB001|11-06-2026|21000</v>
      </c>
      <c r="H83" t="str">
        <f t="shared" si="8"/>
        <v>DUPB001|11-06-2026|21000</v>
      </c>
      <c r="I83" t="str">
        <f t="shared" si="9"/>
        <v>Different Vendor Duplicate</v>
      </c>
      <c r="J83" t="str">
        <f t="shared" si="10"/>
        <v>Exception</v>
      </c>
      <c r="K83">
        <f t="shared" si="11"/>
        <v>0</v>
      </c>
      <c r="L83">
        <f t="shared" si="12"/>
        <v>2</v>
      </c>
      <c r="M83">
        <f t="shared" si="13"/>
        <v>21000</v>
      </c>
    </row>
    <row r="84" spans="1:13" x14ac:dyDescent="0.35">
      <c r="A84" t="s">
        <v>108</v>
      </c>
      <c r="B84" s="1">
        <v>46185</v>
      </c>
      <c r="C84" t="s">
        <v>17</v>
      </c>
      <c r="D84" t="s">
        <v>18</v>
      </c>
      <c r="E84">
        <v>22000</v>
      </c>
      <c r="F84" s="1">
        <v>46186</v>
      </c>
      <c r="G84" t="str">
        <f t="shared" si="7"/>
        <v>V002|DUPB002|12-06-2026|22000</v>
      </c>
      <c r="H84" t="str">
        <f t="shared" si="8"/>
        <v>DUPB002|12-06-2026|22000</v>
      </c>
      <c r="I84" t="str">
        <f t="shared" si="9"/>
        <v>Different Vendor Duplicate</v>
      </c>
      <c r="J84" t="str">
        <f t="shared" si="10"/>
        <v>Exception</v>
      </c>
      <c r="K84">
        <f t="shared" si="11"/>
        <v>0</v>
      </c>
      <c r="L84">
        <f t="shared" si="12"/>
        <v>2</v>
      </c>
      <c r="M84">
        <f t="shared" si="13"/>
        <v>22000</v>
      </c>
    </row>
    <row r="85" spans="1:13" x14ac:dyDescent="0.35">
      <c r="A85" t="s">
        <v>108</v>
      </c>
      <c r="B85" s="1">
        <v>46185</v>
      </c>
      <c r="C85" t="s">
        <v>20</v>
      </c>
      <c r="D85" t="s">
        <v>21</v>
      </c>
      <c r="E85">
        <v>22000</v>
      </c>
      <c r="F85" s="1">
        <v>46186</v>
      </c>
      <c r="G85" t="str">
        <f t="shared" si="7"/>
        <v>V003|DUPB002|12-06-2026|22000</v>
      </c>
      <c r="H85" t="str">
        <f t="shared" si="8"/>
        <v>DUPB002|12-06-2026|22000</v>
      </c>
      <c r="I85" t="str">
        <f t="shared" si="9"/>
        <v>Different Vendor Duplicate</v>
      </c>
      <c r="J85" t="str">
        <f t="shared" si="10"/>
        <v>Exception</v>
      </c>
      <c r="K85">
        <f t="shared" si="11"/>
        <v>0</v>
      </c>
      <c r="L85">
        <f t="shared" si="12"/>
        <v>2</v>
      </c>
      <c r="M85">
        <f t="shared" si="13"/>
        <v>22000</v>
      </c>
    </row>
    <row r="86" spans="1:13" x14ac:dyDescent="0.35">
      <c r="A86" t="s">
        <v>109</v>
      </c>
      <c r="B86" s="1">
        <v>46186</v>
      </c>
      <c r="C86" t="s">
        <v>20</v>
      </c>
      <c r="D86" t="s">
        <v>21</v>
      </c>
      <c r="E86">
        <v>23000</v>
      </c>
      <c r="F86" s="1">
        <v>46187</v>
      </c>
      <c r="G86" t="str">
        <f t="shared" si="7"/>
        <v>V003|DUPB003|13-06-2026|23000</v>
      </c>
      <c r="H86" t="str">
        <f t="shared" si="8"/>
        <v>DUPB003|13-06-2026|23000</v>
      </c>
      <c r="I86" t="str">
        <f t="shared" si="9"/>
        <v>Different Vendor Duplicate</v>
      </c>
      <c r="J86" t="str">
        <f t="shared" si="10"/>
        <v>Exception</v>
      </c>
      <c r="K86">
        <f t="shared" si="11"/>
        <v>0</v>
      </c>
      <c r="L86">
        <f t="shared" si="12"/>
        <v>2</v>
      </c>
      <c r="M86">
        <f t="shared" si="13"/>
        <v>23000</v>
      </c>
    </row>
    <row r="87" spans="1:13" x14ac:dyDescent="0.35">
      <c r="A87" t="s">
        <v>109</v>
      </c>
      <c r="B87" s="1">
        <v>46186</v>
      </c>
      <c r="C87" t="s">
        <v>23</v>
      </c>
      <c r="D87" t="s">
        <v>24</v>
      </c>
      <c r="E87">
        <v>23000</v>
      </c>
      <c r="F87" s="1">
        <v>46187</v>
      </c>
      <c r="G87" t="str">
        <f t="shared" si="7"/>
        <v>V004|DUPB003|13-06-2026|23000</v>
      </c>
      <c r="H87" t="str">
        <f t="shared" si="8"/>
        <v>DUPB003|13-06-2026|23000</v>
      </c>
      <c r="I87" t="str">
        <f t="shared" si="9"/>
        <v>Different Vendor Duplicate</v>
      </c>
      <c r="J87" t="str">
        <f t="shared" si="10"/>
        <v>Exception</v>
      </c>
      <c r="K87">
        <f t="shared" si="11"/>
        <v>0</v>
      </c>
      <c r="L87">
        <f t="shared" si="12"/>
        <v>2</v>
      </c>
      <c r="M87">
        <f t="shared" si="13"/>
        <v>23000</v>
      </c>
    </row>
    <row r="88" spans="1:13" x14ac:dyDescent="0.35">
      <c r="A88" t="s">
        <v>110</v>
      </c>
      <c r="B88" s="1">
        <v>46187</v>
      </c>
      <c r="C88" t="s">
        <v>23</v>
      </c>
      <c r="D88" t="s">
        <v>24</v>
      </c>
      <c r="E88">
        <v>24000</v>
      </c>
      <c r="F88" s="1">
        <v>46188</v>
      </c>
      <c r="G88" t="str">
        <f t="shared" si="7"/>
        <v>V004|DUPB004|14-06-2026|24000</v>
      </c>
      <c r="H88" t="str">
        <f t="shared" si="8"/>
        <v>DUPB004|14-06-2026|24000</v>
      </c>
      <c r="I88" t="str">
        <f t="shared" si="9"/>
        <v>Different Vendor Duplicate</v>
      </c>
      <c r="J88" t="str">
        <f t="shared" si="10"/>
        <v>Exception</v>
      </c>
      <c r="K88">
        <f t="shared" si="11"/>
        <v>0</v>
      </c>
      <c r="L88">
        <f t="shared" si="12"/>
        <v>2</v>
      </c>
      <c r="M88">
        <f t="shared" si="13"/>
        <v>24000</v>
      </c>
    </row>
    <row r="89" spans="1:13" x14ac:dyDescent="0.35">
      <c r="A89" t="s">
        <v>110</v>
      </c>
      <c r="B89" s="1">
        <v>46187</v>
      </c>
      <c r="C89" t="s">
        <v>26</v>
      </c>
      <c r="D89" t="s">
        <v>27</v>
      </c>
      <c r="E89">
        <v>24000</v>
      </c>
      <c r="F89" s="1">
        <v>46188</v>
      </c>
      <c r="G89" t="str">
        <f t="shared" si="7"/>
        <v>V005|DUPB004|14-06-2026|24000</v>
      </c>
      <c r="H89" t="str">
        <f t="shared" si="8"/>
        <v>DUPB004|14-06-2026|24000</v>
      </c>
      <c r="I89" t="str">
        <f t="shared" si="9"/>
        <v>Different Vendor Duplicate</v>
      </c>
      <c r="J89" t="str">
        <f t="shared" si="10"/>
        <v>Exception</v>
      </c>
      <c r="K89">
        <f t="shared" si="11"/>
        <v>0</v>
      </c>
      <c r="L89">
        <f t="shared" si="12"/>
        <v>2</v>
      </c>
      <c r="M89">
        <f t="shared" si="13"/>
        <v>24000</v>
      </c>
    </row>
    <row r="90" spans="1:13" x14ac:dyDescent="0.35">
      <c r="A90" t="s">
        <v>111</v>
      </c>
      <c r="B90" s="1">
        <v>46188</v>
      </c>
      <c r="C90" t="s">
        <v>26</v>
      </c>
      <c r="D90" t="s">
        <v>27</v>
      </c>
      <c r="E90">
        <v>25000</v>
      </c>
      <c r="F90" s="1">
        <v>46189</v>
      </c>
      <c r="G90" t="str">
        <f t="shared" si="7"/>
        <v>V005|DUPB005|15-06-2026|25000</v>
      </c>
      <c r="H90" t="str">
        <f t="shared" si="8"/>
        <v>DUPB005|15-06-2026|25000</v>
      </c>
      <c r="I90" t="str">
        <f t="shared" si="9"/>
        <v>Different Vendor Duplicate</v>
      </c>
      <c r="J90" t="str">
        <f t="shared" si="10"/>
        <v>Exception</v>
      </c>
      <c r="K90">
        <f t="shared" si="11"/>
        <v>0</v>
      </c>
      <c r="L90">
        <f t="shared" si="12"/>
        <v>2</v>
      </c>
      <c r="M90">
        <f t="shared" si="13"/>
        <v>25000</v>
      </c>
    </row>
    <row r="91" spans="1:13" x14ac:dyDescent="0.35">
      <c r="A91" t="s">
        <v>111</v>
      </c>
      <c r="B91" s="1">
        <v>46188</v>
      </c>
      <c r="C91" t="s">
        <v>29</v>
      </c>
      <c r="D91" t="s">
        <v>30</v>
      </c>
      <c r="E91">
        <v>25000</v>
      </c>
      <c r="F91" s="1">
        <v>46189</v>
      </c>
      <c r="G91" t="str">
        <f t="shared" si="7"/>
        <v>V006|DUPB005|15-06-2026|25000</v>
      </c>
      <c r="H91" t="str">
        <f t="shared" si="8"/>
        <v>DUPB005|15-06-2026|25000</v>
      </c>
      <c r="I91" t="str">
        <f t="shared" si="9"/>
        <v>Different Vendor Duplicate</v>
      </c>
      <c r="J91" t="str">
        <f t="shared" si="10"/>
        <v>Exception</v>
      </c>
      <c r="K91">
        <f t="shared" si="11"/>
        <v>0</v>
      </c>
      <c r="L91">
        <f t="shared" si="12"/>
        <v>2</v>
      </c>
      <c r="M91">
        <f t="shared" si="13"/>
        <v>25000</v>
      </c>
    </row>
    <row r="92" spans="1:13" x14ac:dyDescent="0.35">
      <c r="A92" t="s">
        <v>112</v>
      </c>
      <c r="B92" s="1">
        <v>46189</v>
      </c>
      <c r="C92" t="s">
        <v>29</v>
      </c>
      <c r="D92" t="s">
        <v>30</v>
      </c>
      <c r="E92">
        <v>26000</v>
      </c>
      <c r="F92" s="1">
        <v>46190</v>
      </c>
      <c r="G92" t="str">
        <f t="shared" si="7"/>
        <v>V006|DUPB006|16-06-2026|26000</v>
      </c>
      <c r="H92" t="str">
        <f t="shared" si="8"/>
        <v>DUPB006|16-06-2026|26000</v>
      </c>
      <c r="I92" t="str">
        <f t="shared" si="9"/>
        <v>Different Vendor Duplicate</v>
      </c>
      <c r="J92" t="str">
        <f t="shared" si="10"/>
        <v>Exception</v>
      </c>
      <c r="K92">
        <f t="shared" si="11"/>
        <v>0</v>
      </c>
      <c r="L92">
        <f t="shared" si="12"/>
        <v>2</v>
      </c>
      <c r="M92">
        <f t="shared" si="13"/>
        <v>26000</v>
      </c>
    </row>
    <row r="93" spans="1:13" x14ac:dyDescent="0.35">
      <c r="A93" t="s">
        <v>112</v>
      </c>
      <c r="B93" s="1">
        <v>46189</v>
      </c>
      <c r="C93" t="s">
        <v>32</v>
      </c>
      <c r="D93" t="s">
        <v>33</v>
      </c>
      <c r="E93">
        <v>26000</v>
      </c>
      <c r="F93" s="1">
        <v>46190</v>
      </c>
      <c r="G93" t="str">
        <f t="shared" si="7"/>
        <v>V007|DUPB006|16-06-2026|26000</v>
      </c>
      <c r="H93" t="str">
        <f t="shared" si="8"/>
        <v>DUPB006|16-06-2026|26000</v>
      </c>
      <c r="I93" t="str">
        <f t="shared" si="9"/>
        <v>Different Vendor Duplicate</v>
      </c>
      <c r="J93" t="str">
        <f t="shared" si="10"/>
        <v>Exception</v>
      </c>
      <c r="K93">
        <f t="shared" si="11"/>
        <v>0</v>
      </c>
      <c r="L93">
        <f t="shared" si="12"/>
        <v>2</v>
      </c>
      <c r="M93">
        <f t="shared" si="13"/>
        <v>26000</v>
      </c>
    </row>
    <row r="94" spans="1:13" x14ac:dyDescent="0.35">
      <c r="A94" t="s">
        <v>113</v>
      </c>
      <c r="B94" s="1">
        <v>46190</v>
      </c>
      <c r="C94" t="s">
        <v>32</v>
      </c>
      <c r="D94" t="s">
        <v>33</v>
      </c>
      <c r="E94">
        <v>27000</v>
      </c>
      <c r="F94" s="1">
        <v>46191</v>
      </c>
      <c r="G94" t="str">
        <f t="shared" si="7"/>
        <v>V007|DUPB007|17-06-2026|27000</v>
      </c>
      <c r="H94" t="str">
        <f t="shared" si="8"/>
        <v>DUPB007|17-06-2026|27000</v>
      </c>
      <c r="I94" t="str">
        <f t="shared" si="9"/>
        <v>Different Vendor Duplicate</v>
      </c>
      <c r="J94" t="str">
        <f t="shared" si="10"/>
        <v>Exception</v>
      </c>
      <c r="K94">
        <f t="shared" si="11"/>
        <v>0</v>
      </c>
      <c r="L94">
        <f t="shared" si="12"/>
        <v>2</v>
      </c>
      <c r="M94">
        <f t="shared" si="13"/>
        <v>27000</v>
      </c>
    </row>
    <row r="95" spans="1:13" x14ac:dyDescent="0.35">
      <c r="A95" t="s">
        <v>113</v>
      </c>
      <c r="B95" s="1">
        <v>46190</v>
      </c>
      <c r="C95" t="s">
        <v>35</v>
      </c>
      <c r="D95" t="s">
        <v>36</v>
      </c>
      <c r="E95">
        <v>27000</v>
      </c>
      <c r="F95" s="1">
        <v>46191</v>
      </c>
      <c r="G95" t="str">
        <f t="shared" si="7"/>
        <v>V008|DUPB007|17-06-2026|27000</v>
      </c>
      <c r="H95" t="str">
        <f t="shared" si="8"/>
        <v>DUPB007|17-06-2026|27000</v>
      </c>
      <c r="I95" t="str">
        <f t="shared" si="9"/>
        <v>Different Vendor Duplicate</v>
      </c>
      <c r="J95" t="str">
        <f t="shared" si="10"/>
        <v>Exception</v>
      </c>
      <c r="K95">
        <f t="shared" si="11"/>
        <v>0</v>
      </c>
      <c r="L95">
        <f t="shared" si="12"/>
        <v>2</v>
      </c>
      <c r="M95">
        <f t="shared" si="13"/>
        <v>27000</v>
      </c>
    </row>
    <row r="96" spans="1:13" x14ac:dyDescent="0.35">
      <c r="A96" t="s">
        <v>114</v>
      </c>
      <c r="B96" s="1">
        <v>46191</v>
      </c>
      <c r="C96" t="s">
        <v>35</v>
      </c>
      <c r="D96" t="s">
        <v>36</v>
      </c>
      <c r="E96">
        <v>28000</v>
      </c>
      <c r="F96" s="1">
        <v>46192</v>
      </c>
      <c r="G96" t="str">
        <f t="shared" si="7"/>
        <v>V008|DUPB008|18-06-2026|28000</v>
      </c>
      <c r="H96" t="str">
        <f t="shared" si="8"/>
        <v>DUPB008|18-06-2026|28000</v>
      </c>
      <c r="I96" t="str">
        <f t="shared" si="9"/>
        <v>Different Vendor Duplicate</v>
      </c>
      <c r="J96" t="str">
        <f t="shared" si="10"/>
        <v>Exception</v>
      </c>
      <c r="K96">
        <f t="shared" si="11"/>
        <v>0</v>
      </c>
      <c r="L96">
        <f t="shared" si="12"/>
        <v>2</v>
      </c>
      <c r="M96">
        <f t="shared" si="13"/>
        <v>28000</v>
      </c>
    </row>
    <row r="97" spans="1:13" x14ac:dyDescent="0.35">
      <c r="A97" t="s">
        <v>114</v>
      </c>
      <c r="B97" s="1">
        <v>46191</v>
      </c>
      <c r="C97" t="s">
        <v>38</v>
      </c>
      <c r="D97" t="s">
        <v>39</v>
      </c>
      <c r="E97">
        <v>28000</v>
      </c>
      <c r="F97" s="1">
        <v>46192</v>
      </c>
      <c r="G97" t="str">
        <f t="shared" si="7"/>
        <v>V009|DUPB008|18-06-2026|28000</v>
      </c>
      <c r="H97" t="str">
        <f t="shared" si="8"/>
        <v>DUPB008|18-06-2026|28000</v>
      </c>
      <c r="I97" t="str">
        <f t="shared" si="9"/>
        <v>Different Vendor Duplicate</v>
      </c>
      <c r="J97" t="str">
        <f t="shared" si="10"/>
        <v>Exception</v>
      </c>
      <c r="K97">
        <f t="shared" si="11"/>
        <v>0</v>
      </c>
      <c r="L97">
        <f t="shared" si="12"/>
        <v>2</v>
      </c>
      <c r="M97">
        <f t="shared" si="13"/>
        <v>28000</v>
      </c>
    </row>
    <row r="98" spans="1:13" x14ac:dyDescent="0.35">
      <c r="A98" t="s">
        <v>115</v>
      </c>
      <c r="B98" s="1">
        <v>46192</v>
      </c>
      <c r="C98" t="s">
        <v>38</v>
      </c>
      <c r="D98" t="s">
        <v>39</v>
      </c>
      <c r="E98">
        <v>29000</v>
      </c>
      <c r="F98" s="1">
        <v>46193</v>
      </c>
      <c r="G98" t="str">
        <f t="shared" si="7"/>
        <v>V009|DUPB009|19-06-2026|29000</v>
      </c>
      <c r="H98" t="str">
        <f t="shared" si="8"/>
        <v>DUPB009|19-06-2026|29000</v>
      </c>
      <c r="I98" t="str">
        <f t="shared" si="9"/>
        <v>Different Vendor Duplicate</v>
      </c>
      <c r="J98" t="str">
        <f t="shared" si="10"/>
        <v>Exception</v>
      </c>
      <c r="K98">
        <f t="shared" si="11"/>
        <v>0</v>
      </c>
      <c r="L98">
        <f t="shared" si="12"/>
        <v>2</v>
      </c>
      <c r="M98">
        <f t="shared" si="13"/>
        <v>29000</v>
      </c>
    </row>
    <row r="99" spans="1:13" x14ac:dyDescent="0.35">
      <c r="A99" t="s">
        <v>115</v>
      </c>
      <c r="B99" s="1">
        <v>46192</v>
      </c>
      <c r="C99" t="s">
        <v>41</v>
      </c>
      <c r="D99" t="s">
        <v>42</v>
      </c>
      <c r="E99">
        <v>29000</v>
      </c>
      <c r="F99" s="1">
        <v>46193</v>
      </c>
      <c r="G99" t="str">
        <f t="shared" si="7"/>
        <v>V010|DUPB009|19-06-2026|29000</v>
      </c>
      <c r="H99" t="str">
        <f t="shared" si="8"/>
        <v>DUPB009|19-06-2026|29000</v>
      </c>
      <c r="I99" t="str">
        <f t="shared" si="9"/>
        <v>Different Vendor Duplicate</v>
      </c>
      <c r="J99" t="str">
        <f t="shared" si="10"/>
        <v>Exception</v>
      </c>
      <c r="K99">
        <f t="shared" si="11"/>
        <v>0</v>
      </c>
      <c r="L99">
        <f t="shared" si="12"/>
        <v>2</v>
      </c>
      <c r="M99">
        <f t="shared" si="13"/>
        <v>29000</v>
      </c>
    </row>
    <row r="100" spans="1:13" x14ac:dyDescent="0.35">
      <c r="A100" t="s">
        <v>116</v>
      </c>
      <c r="B100" s="1">
        <v>46193</v>
      </c>
      <c r="C100" t="s">
        <v>41</v>
      </c>
      <c r="D100" t="s">
        <v>42</v>
      </c>
      <c r="E100">
        <v>30000</v>
      </c>
      <c r="F100" s="1">
        <v>46194</v>
      </c>
      <c r="G100" t="str">
        <f t="shared" si="7"/>
        <v>V010|DUPB010|20-06-2026|30000</v>
      </c>
      <c r="H100" t="str">
        <f t="shared" si="8"/>
        <v>DUPB010|20-06-2026|30000</v>
      </c>
      <c r="I100" t="str">
        <f t="shared" si="9"/>
        <v>Different Vendor Duplicate</v>
      </c>
      <c r="J100" t="str">
        <f t="shared" si="10"/>
        <v>Exception</v>
      </c>
      <c r="K100">
        <f t="shared" si="11"/>
        <v>0</v>
      </c>
      <c r="L100">
        <f t="shared" si="12"/>
        <v>2</v>
      </c>
      <c r="M100">
        <f t="shared" si="13"/>
        <v>30000</v>
      </c>
    </row>
    <row r="101" spans="1:13" x14ac:dyDescent="0.35">
      <c r="A101" t="s">
        <v>116</v>
      </c>
      <c r="B101" s="1">
        <v>46193</v>
      </c>
      <c r="C101" t="s">
        <v>44</v>
      </c>
      <c r="D101" t="s">
        <v>45</v>
      </c>
      <c r="E101">
        <v>30000</v>
      </c>
      <c r="F101" s="1">
        <v>46194</v>
      </c>
      <c r="G101" t="str">
        <f t="shared" si="7"/>
        <v>V011|DUPB010|20-06-2026|30000</v>
      </c>
      <c r="H101" t="str">
        <f t="shared" si="8"/>
        <v>DUPB010|20-06-2026|30000</v>
      </c>
      <c r="I101" t="str">
        <f t="shared" si="9"/>
        <v>Different Vendor Duplicate</v>
      </c>
      <c r="J101" t="str">
        <f t="shared" si="10"/>
        <v>Exception</v>
      </c>
      <c r="K101">
        <f t="shared" si="11"/>
        <v>0</v>
      </c>
      <c r="L101">
        <f t="shared" si="12"/>
        <v>2</v>
      </c>
      <c r="M101">
        <f t="shared" si="13"/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5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2026-07-05T12:34:57Z</dcterms:created>
  <dcterms:modified xsi:type="dcterms:W3CDTF">2026-07-05T12:36:07Z</dcterms:modified>
</cp:coreProperties>
</file>