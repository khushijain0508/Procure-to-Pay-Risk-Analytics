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a6d49907f61831/Desktop/P2P Internship Project/Datasets/"/>
    </mc:Choice>
  </mc:AlternateContent>
  <xr:revisionPtr revIDLastSave="0" documentId="8_{E4F065E0-BE0A-4F52-9231-37C007EDA65E}" xr6:coauthVersionLast="47" xr6:coauthVersionMax="47" xr10:uidLastSave="{00000000-0000-0000-0000-000000000000}"/>
  <bookViews>
    <workbookView xWindow="-110" yWindow="-110" windowWidth="19420" windowHeight="11500" xr2:uid="{C3D5C199-728A-425C-82AF-C21B0F1138C1}"/>
  </bookViews>
  <sheets>
    <sheet name="Scenario 6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01" i="1" l="1"/>
  <c r="O101" i="1"/>
  <c r="N101" i="1"/>
  <c r="M101" i="1"/>
  <c r="L101" i="1"/>
  <c r="K101" i="1"/>
  <c r="I101" i="1"/>
  <c r="Q101" i="1" s="1"/>
  <c r="P100" i="1"/>
  <c r="O100" i="1"/>
  <c r="N100" i="1"/>
  <c r="M100" i="1"/>
  <c r="L100" i="1"/>
  <c r="K100" i="1"/>
  <c r="I100" i="1"/>
  <c r="J100" i="1" s="1"/>
  <c r="P99" i="1"/>
  <c r="O99" i="1"/>
  <c r="N99" i="1"/>
  <c r="M99" i="1"/>
  <c r="L99" i="1"/>
  <c r="K99" i="1"/>
  <c r="I99" i="1"/>
  <c r="Q99" i="1" s="1"/>
  <c r="P98" i="1"/>
  <c r="O98" i="1"/>
  <c r="N98" i="1"/>
  <c r="M98" i="1"/>
  <c r="L98" i="1"/>
  <c r="K98" i="1"/>
  <c r="I98" i="1"/>
  <c r="Q98" i="1" s="1"/>
  <c r="P97" i="1"/>
  <c r="O97" i="1"/>
  <c r="N97" i="1"/>
  <c r="M97" i="1"/>
  <c r="L97" i="1"/>
  <c r="K97" i="1"/>
  <c r="I97" i="1"/>
  <c r="Q97" i="1" s="1"/>
  <c r="P96" i="1"/>
  <c r="O96" i="1"/>
  <c r="N96" i="1"/>
  <c r="M96" i="1"/>
  <c r="L96" i="1"/>
  <c r="K96" i="1"/>
  <c r="I96" i="1"/>
  <c r="Q96" i="1" s="1"/>
  <c r="P95" i="1"/>
  <c r="O95" i="1"/>
  <c r="N95" i="1"/>
  <c r="M95" i="1"/>
  <c r="L95" i="1"/>
  <c r="K95" i="1"/>
  <c r="I95" i="1"/>
  <c r="Q95" i="1" s="1"/>
  <c r="P94" i="1"/>
  <c r="O94" i="1"/>
  <c r="N94" i="1"/>
  <c r="M94" i="1"/>
  <c r="L94" i="1"/>
  <c r="K94" i="1"/>
  <c r="I94" i="1"/>
  <c r="Q94" i="1" s="1"/>
  <c r="P93" i="1"/>
  <c r="O93" i="1"/>
  <c r="N93" i="1"/>
  <c r="M93" i="1"/>
  <c r="L93" i="1"/>
  <c r="K93" i="1"/>
  <c r="I93" i="1"/>
  <c r="Q93" i="1" s="1"/>
  <c r="P92" i="1"/>
  <c r="O92" i="1"/>
  <c r="N92" i="1"/>
  <c r="M92" i="1"/>
  <c r="L92" i="1"/>
  <c r="K92" i="1"/>
  <c r="I92" i="1"/>
  <c r="J92" i="1" s="1"/>
  <c r="P91" i="1"/>
  <c r="O91" i="1"/>
  <c r="N91" i="1"/>
  <c r="M91" i="1"/>
  <c r="L91" i="1"/>
  <c r="K91" i="1"/>
  <c r="I91" i="1"/>
  <c r="Q91" i="1" s="1"/>
  <c r="P90" i="1"/>
  <c r="O90" i="1"/>
  <c r="N90" i="1"/>
  <c r="M90" i="1"/>
  <c r="L90" i="1"/>
  <c r="K90" i="1"/>
  <c r="I90" i="1"/>
  <c r="J90" i="1" s="1"/>
  <c r="P89" i="1"/>
  <c r="O89" i="1"/>
  <c r="N89" i="1"/>
  <c r="M89" i="1"/>
  <c r="L89" i="1"/>
  <c r="K89" i="1"/>
  <c r="I89" i="1"/>
  <c r="Q89" i="1" s="1"/>
  <c r="P88" i="1"/>
  <c r="O88" i="1"/>
  <c r="N88" i="1"/>
  <c r="M88" i="1"/>
  <c r="L88" i="1"/>
  <c r="K88" i="1"/>
  <c r="I88" i="1"/>
  <c r="J88" i="1" s="1"/>
  <c r="P87" i="1"/>
  <c r="O87" i="1"/>
  <c r="N87" i="1"/>
  <c r="M87" i="1"/>
  <c r="L87" i="1"/>
  <c r="K87" i="1"/>
  <c r="I87" i="1"/>
  <c r="Q87" i="1" s="1"/>
  <c r="P86" i="1"/>
  <c r="O86" i="1"/>
  <c r="N86" i="1"/>
  <c r="M86" i="1"/>
  <c r="L86" i="1"/>
  <c r="K86" i="1"/>
  <c r="I86" i="1"/>
  <c r="J86" i="1" s="1"/>
  <c r="P85" i="1"/>
  <c r="O85" i="1"/>
  <c r="N85" i="1"/>
  <c r="M85" i="1"/>
  <c r="L85" i="1"/>
  <c r="K85" i="1"/>
  <c r="I85" i="1"/>
  <c r="Q85" i="1" s="1"/>
  <c r="P84" i="1"/>
  <c r="O84" i="1"/>
  <c r="N84" i="1"/>
  <c r="M84" i="1"/>
  <c r="L84" i="1"/>
  <c r="K84" i="1"/>
  <c r="I84" i="1"/>
  <c r="J84" i="1" s="1"/>
  <c r="P83" i="1"/>
  <c r="O83" i="1"/>
  <c r="N83" i="1"/>
  <c r="M83" i="1"/>
  <c r="L83" i="1"/>
  <c r="K83" i="1"/>
  <c r="I83" i="1"/>
  <c r="Q83" i="1" s="1"/>
  <c r="P82" i="1"/>
  <c r="O82" i="1"/>
  <c r="N82" i="1"/>
  <c r="M82" i="1"/>
  <c r="L82" i="1"/>
  <c r="K82" i="1"/>
  <c r="I82" i="1"/>
  <c r="Q82" i="1" s="1"/>
  <c r="P81" i="1"/>
  <c r="O81" i="1"/>
  <c r="N81" i="1"/>
  <c r="M81" i="1"/>
  <c r="L81" i="1"/>
  <c r="K81" i="1"/>
  <c r="I81" i="1"/>
  <c r="Q81" i="1" s="1"/>
  <c r="P80" i="1"/>
  <c r="O80" i="1"/>
  <c r="N80" i="1"/>
  <c r="M80" i="1"/>
  <c r="L80" i="1"/>
  <c r="K80" i="1"/>
  <c r="I80" i="1"/>
  <c r="J80" i="1" s="1"/>
  <c r="P79" i="1"/>
  <c r="O79" i="1"/>
  <c r="N79" i="1"/>
  <c r="M79" i="1"/>
  <c r="L79" i="1"/>
  <c r="K79" i="1"/>
  <c r="I79" i="1"/>
  <c r="Q79" i="1" s="1"/>
  <c r="P78" i="1"/>
  <c r="O78" i="1"/>
  <c r="N78" i="1"/>
  <c r="M78" i="1"/>
  <c r="L78" i="1"/>
  <c r="K78" i="1"/>
  <c r="I78" i="1"/>
  <c r="Q78" i="1" s="1"/>
  <c r="P77" i="1"/>
  <c r="O77" i="1"/>
  <c r="N77" i="1"/>
  <c r="M77" i="1"/>
  <c r="L77" i="1"/>
  <c r="K77" i="1"/>
  <c r="I77" i="1"/>
  <c r="Q77" i="1" s="1"/>
  <c r="P76" i="1"/>
  <c r="O76" i="1"/>
  <c r="N76" i="1"/>
  <c r="M76" i="1"/>
  <c r="L76" i="1"/>
  <c r="K76" i="1"/>
  <c r="I76" i="1"/>
  <c r="J76" i="1" s="1"/>
  <c r="P75" i="1"/>
  <c r="O75" i="1"/>
  <c r="N75" i="1"/>
  <c r="M75" i="1"/>
  <c r="L75" i="1"/>
  <c r="K75" i="1"/>
  <c r="I75" i="1"/>
  <c r="Q75" i="1" s="1"/>
  <c r="P74" i="1"/>
  <c r="O74" i="1"/>
  <c r="N74" i="1"/>
  <c r="M74" i="1"/>
  <c r="L74" i="1"/>
  <c r="K74" i="1"/>
  <c r="I74" i="1"/>
  <c r="J74" i="1" s="1"/>
  <c r="P73" i="1"/>
  <c r="O73" i="1"/>
  <c r="N73" i="1"/>
  <c r="M73" i="1"/>
  <c r="L73" i="1"/>
  <c r="K73" i="1"/>
  <c r="I73" i="1"/>
  <c r="Q73" i="1" s="1"/>
  <c r="P72" i="1"/>
  <c r="O72" i="1"/>
  <c r="N72" i="1"/>
  <c r="M72" i="1"/>
  <c r="L72" i="1"/>
  <c r="K72" i="1"/>
  <c r="I72" i="1"/>
  <c r="J72" i="1" s="1"/>
  <c r="P71" i="1"/>
  <c r="O71" i="1"/>
  <c r="N71" i="1"/>
  <c r="M71" i="1"/>
  <c r="L71" i="1"/>
  <c r="K71" i="1"/>
  <c r="I71" i="1"/>
  <c r="Q71" i="1" s="1"/>
  <c r="P70" i="1"/>
  <c r="O70" i="1"/>
  <c r="N70" i="1"/>
  <c r="M70" i="1"/>
  <c r="L70" i="1"/>
  <c r="K70" i="1"/>
  <c r="I70" i="1"/>
  <c r="J70" i="1" s="1"/>
  <c r="P69" i="1"/>
  <c r="O69" i="1"/>
  <c r="N69" i="1"/>
  <c r="M69" i="1"/>
  <c r="L69" i="1"/>
  <c r="K69" i="1"/>
  <c r="I69" i="1"/>
  <c r="Q69" i="1" s="1"/>
  <c r="P68" i="1"/>
  <c r="O68" i="1"/>
  <c r="N68" i="1"/>
  <c r="M68" i="1"/>
  <c r="L68" i="1"/>
  <c r="K68" i="1"/>
  <c r="I68" i="1"/>
  <c r="Q68" i="1" s="1"/>
  <c r="P67" i="1"/>
  <c r="O67" i="1"/>
  <c r="N67" i="1"/>
  <c r="M67" i="1"/>
  <c r="L67" i="1"/>
  <c r="K67" i="1"/>
  <c r="I67" i="1"/>
  <c r="Q67" i="1" s="1"/>
  <c r="P66" i="1"/>
  <c r="O66" i="1"/>
  <c r="N66" i="1"/>
  <c r="M66" i="1"/>
  <c r="L66" i="1"/>
  <c r="K66" i="1"/>
  <c r="I66" i="1"/>
  <c r="J66" i="1" s="1"/>
  <c r="P65" i="1"/>
  <c r="O65" i="1"/>
  <c r="N65" i="1"/>
  <c r="M65" i="1"/>
  <c r="L65" i="1"/>
  <c r="K65" i="1"/>
  <c r="I65" i="1"/>
  <c r="Q65" i="1" s="1"/>
  <c r="P64" i="1"/>
  <c r="O64" i="1"/>
  <c r="N64" i="1"/>
  <c r="M64" i="1"/>
  <c r="L64" i="1"/>
  <c r="K64" i="1"/>
  <c r="I64" i="1"/>
  <c r="J64" i="1" s="1"/>
  <c r="P63" i="1"/>
  <c r="O63" i="1"/>
  <c r="N63" i="1"/>
  <c r="M63" i="1"/>
  <c r="L63" i="1"/>
  <c r="K63" i="1"/>
  <c r="I63" i="1"/>
  <c r="Q63" i="1" s="1"/>
  <c r="P62" i="1"/>
  <c r="O62" i="1"/>
  <c r="N62" i="1"/>
  <c r="M62" i="1"/>
  <c r="L62" i="1"/>
  <c r="K62" i="1"/>
  <c r="I62" i="1"/>
  <c r="J62" i="1" s="1"/>
  <c r="P61" i="1"/>
  <c r="O61" i="1"/>
  <c r="N61" i="1"/>
  <c r="M61" i="1"/>
  <c r="L61" i="1"/>
  <c r="K61" i="1"/>
  <c r="I61" i="1"/>
  <c r="Q61" i="1" s="1"/>
  <c r="P60" i="1"/>
  <c r="O60" i="1"/>
  <c r="N60" i="1"/>
  <c r="M60" i="1"/>
  <c r="L60" i="1"/>
  <c r="K60" i="1"/>
  <c r="I60" i="1"/>
  <c r="Q60" i="1" s="1"/>
  <c r="P59" i="1"/>
  <c r="O59" i="1"/>
  <c r="N59" i="1"/>
  <c r="M59" i="1"/>
  <c r="L59" i="1"/>
  <c r="K59" i="1"/>
  <c r="I59" i="1"/>
  <c r="Q59" i="1" s="1"/>
  <c r="P58" i="1"/>
  <c r="O58" i="1"/>
  <c r="N58" i="1"/>
  <c r="M58" i="1"/>
  <c r="L58" i="1"/>
  <c r="K58" i="1"/>
  <c r="I58" i="1"/>
  <c r="J58" i="1" s="1"/>
  <c r="P57" i="1"/>
  <c r="O57" i="1"/>
  <c r="N57" i="1"/>
  <c r="M57" i="1"/>
  <c r="L57" i="1"/>
  <c r="K57" i="1"/>
  <c r="I57" i="1"/>
  <c r="Q57" i="1" s="1"/>
  <c r="P56" i="1"/>
  <c r="O56" i="1"/>
  <c r="N56" i="1"/>
  <c r="M56" i="1"/>
  <c r="L56" i="1"/>
  <c r="K56" i="1"/>
  <c r="I56" i="1"/>
  <c r="J56" i="1" s="1"/>
  <c r="P55" i="1"/>
  <c r="O55" i="1"/>
  <c r="N55" i="1"/>
  <c r="M55" i="1"/>
  <c r="L55" i="1"/>
  <c r="K55" i="1"/>
  <c r="I55" i="1"/>
  <c r="Q55" i="1" s="1"/>
  <c r="P54" i="1"/>
  <c r="O54" i="1"/>
  <c r="N54" i="1"/>
  <c r="M54" i="1"/>
  <c r="L54" i="1"/>
  <c r="K54" i="1"/>
  <c r="I54" i="1"/>
  <c r="Q54" i="1" s="1"/>
  <c r="P53" i="1"/>
  <c r="O53" i="1"/>
  <c r="N53" i="1"/>
  <c r="M53" i="1"/>
  <c r="L53" i="1"/>
  <c r="K53" i="1"/>
  <c r="I53" i="1"/>
  <c r="Q53" i="1" s="1"/>
  <c r="P52" i="1"/>
  <c r="O52" i="1"/>
  <c r="N52" i="1"/>
  <c r="M52" i="1"/>
  <c r="L52" i="1"/>
  <c r="K52" i="1"/>
  <c r="I52" i="1"/>
  <c r="J52" i="1" s="1"/>
  <c r="P51" i="1"/>
  <c r="O51" i="1"/>
  <c r="N51" i="1"/>
  <c r="M51" i="1"/>
  <c r="L51" i="1"/>
  <c r="K51" i="1"/>
  <c r="I51" i="1"/>
  <c r="Q51" i="1" s="1"/>
  <c r="P50" i="1"/>
  <c r="O50" i="1"/>
  <c r="N50" i="1"/>
  <c r="M50" i="1"/>
  <c r="L50" i="1"/>
  <c r="K50" i="1"/>
  <c r="I50" i="1"/>
  <c r="Q50" i="1" s="1"/>
  <c r="P49" i="1"/>
  <c r="O49" i="1"/>
  <c r="N49" i="1"/>
  <c r="M49" i="1"/>
  <c r="L49" i="1"/>
  <c r="K49" i="1"/>
  <c r="I49" i="1"/>
  <c r="Q49" i="1" s="1"/>
  <c r="P48" i="1"/>
  <c r="O48" i="1"/>
  <c r="N48" i="1"/>
  <c r="M48" i="1"/>
  <c r="L48" i="1"/>
  <c r="K48" i="1"/>
  <c r="I48" i="1"/>
  <c r="Q48" i="1" s="1"/>
  <c r="P47" i="1"/>
  <c r="O47" i="1"/>
  <c r="N47" i="1"/>
  <c r="M47" i="1"/>
  <c r="L47" i="1"/>
  <c r="K47" i="1"/>
  <c r="I47" i="1"/>
  <c r="Q47" i="1" s="1"/>
  <c r="P46" i="1"/>
  <c r="O46" i="1"/>
  <c r="N46" i="1"/>
  <c r="M46" i="1"/>
  <c r="L46" i="1"/>
  <c r="K46" i="1"/>
  <c r="I46" i="1"/>
  <c r="J46" i="1" s="1"/>
  <c r="P45" i="1"/>
  <c r="O45" i="1"/>
  <c r="N45" i="1"/>
  <c r="M45" i="1"/>
  <c r="L45" i="1"/>
  <c r="K45" i="1"/>
  <c r="I45" i="1"/>
  <c r="Q45" i="1" s="1"/>
  <c r="P44" i="1"/>
  <c r="O44" i="1"/>
  <c r="N44" i="1"/>
  <c r="M44" i="1"/>
  <c r="L44" i="1"/>
  <c r="K44" i="1"/>
  <c r="I44" i="1"/>
  <c r="Q44" i="1" s="1"/>
  <c r="P43" i="1"/>
  <c r="O43" i="1"/>
  <c r="N43" i="1"/>
  <c r="M43" i="1"/>
  <c r="L43" i="1"/>
  <c r="K43" i="1"/>
  <c r="I43" i="1"/>
  <c r="Q43" i="1" s="1"/>
  <c r="P42" i="1"/>
  <c r="O42" i="1"/>
  <c r="N42" i="1"/>
  <c r="M42" i="1"/>
  <c r="L42" i="1"/>
  <c r="K42" i="1"/>
  <c r="I42" i="1"/>
  <c r="J42" i="1" s="1"/>
  <c r="P41" i="1"/>
  <c r="O41" i="1"/>
  <c r="N41" i="1"/>
  <c r="M41" i="1"/>
  <c r="L41" i="1"/>
  <c r="K41" i="1"/>
  <c r="I41" i="1"/>
  <c r="Q41" i="1" s="1"/>
  <c r="P40" i="1"/>
  <c r="O40" i="1"/>
  <c r="N40" i="1"/>
  <c r="M40" i="1"/>
  <c r="L40" i="1"/>
  <c r="K40" i="1"/>
  <c r="I40" i="1"/>
  <c r="Q40" i="1" s="1"/>
  <c r="P39" i="1"/>
  <c r="O39" i="1"/>
  <c r="N39" i="1"/>
  <c r="M39" i="1"/>
  <c r="L39" i="1"/>
  <c r="K39" i="1"/>
  <c r="I39" i="1"/>
  <c r="Q39" i="1" s="1"/>
  <c r="P38" i="1"/>
  <c r="O38" i="1"/>
  <c r="N38" i="1"/>
  <c r="M38" i="1"/>
  <c r="L38" i="1"/>
  <c r="K38" i="1"/>
  <c r="I38" i="1"/>
  <c r="J38" i="1" s="1"/>
  <c r="P37" i="1"/>
  <c r="O37" i="1"/>
  <c r="N37" i="1"/>
  <c r="M37" i="1"/>
  <c r="L37" i="1"/>
  <c r="K37" i="1"/>
  <c r="I37" i="1"/>
  <c r="Q37" i="1" s="1"/>
  <c r="P36" i="1"/>
  <c r="O36" i="1"/>
  <c r="N36" i="1"/>
  <c r="M36" i="1"/>
  <c r="L36" i="1"/>
  <c r="K36" i="1"/>
  <c r="I36" i="1"/>
  <c r="Q36" i="1" s="1"/>
  <c r="P35" i="1"/>
  <c r="O35" i="1"/>
  <c r="N35" i="1"/>
  <c r="M35" i="1"/>
  <c r="L35" i="1"/>
  <c r="K35" i="1"/>
  <c r="I35" i="1"/>
  <c r="Q35" i="1" s="1"/>
  <c r="P34" i="1"/>
  <c r="O34" i="1"/>
  <c r="N34" i="1"/>
  <c r="M34" i="1"/>
  <c r="L34" i="1"/>
  <c r="K34" i="1"/>
  <c r="I34" i="1"/>
  <c r="J34" i="1" s="1"/>
  <c r="P33" i="1"/>
  <c r="O33" i="1"/>
  <c r="N33" i="1"/>
  <c r="M33" i="1"/>
  <c r="L33" i="1"/>
  <c r="K33" i="1"/>
  <c r="I33" i="1"/>
  <c r="Q33" i="1" s="1"/>
  <c r="P32" i="1"/>
  <c r="O32" i="1"/>
  <c r="N32" i="1"/>
  <c r="M32" i="1"/>
  <c r="L32" i="1"/>
  <c r="K32" i="1"/>
  <c r="I32" i="1"/>
  <c r="Q32" i="1" s="1"/>
  <c r="P31" i="1"/>
  <c r="O31" i="1"/>
  <c r="N31" i="1"/>
  <c r="M31" i="1"/>
  <c r="L31" i="1"/>
  <c r="K31" i="1"/>
  <c r="I31" i="1"/>
  <c r="Q31" i="1" s="1"/>
  <c r="P30" i="1"/>
  <c r="O30" i="1"/>
  <c r="N30" i="1"/>
  <c r="M30" i="1"/>
  <c r="L30" i="1"/>
  <c r="K30" i="1"/>
  <c r="I30" i="1"/>
  <c r="Q30" i="1" s="1"/>
  <c r="P29" i="1"/>
  <c r="O29" i="1"/>
  <c r="N29" i="1"/>
  <c r="M29" i="1"/>
  <c r="L29" i="1"/>
  <c r="K29" i="1"/>
  <c r="I29" i="1"/>
  <c r="Q29" i="1" s="1"/>
  <c r="P28" i="1"/>
  <c r="O28" i="1"/>
  <c r="N28" i="1"/>
  <c r="M28" i="1"/>
  <c r="L28" i="1"/>
  <c r="K28" i="1"/>
  <c r="I28" i="1"/>
  <c r="J28" i="1" s="1"/>
  <c r="P27" i="1"/>
  <c r="O27" i="1"/>
  <c r="N27" i="1"/>
  <c r="M27" i="1"/>
  <c r="L27" i="1"/>
  <c r="K27" i="1"/>
  <c r="I27" i="1"/>
  <c r="Q27" i="1" s="1"/>
  <c r="P26" i="1"/>
  <c r="O26" i="1"/>
  <c r="N26" i="1"/>
  <c r="M26" i="1"/>
  <c r="L26" i="1"/>
  <c r="K26" i="1"/>
  <c r="I26" i="1"/>
  <c r="Q26" i="1" s="1"/>
  <c r="P25" i="1"/>
  <c r="O25" i="1"/>
  <c r="N25" i="1"/>
  <c r="M25" i="1"/>
  <c r="L25" i="1"/>
  <c r="K25" i="1"/>
  <c r="I25" i="1"/>
  <c r="Q25" i="1" s="1"/>
  <c r="P24" i="1"/>
  <c r="O24" i="1"/>
  <c r="N24" i="1"/>
  <c r="M24" i="1"/>
  <c r="L24" i="1"/>
  <c r="K24" i="1"/>
  <c r="I24" i="1"/>
  <c r="J24" i="1" s="1"/>
  <c r="P23" i="1"/>
  <c r="O23" i="1"/>
  <c r="N23" i="1"/>
  <c r="M23" i="1"/>
  <c r="L23" i="1"/>
  <c r="K23" i="1"/>
  <c r="I23" i="1"/>
  <c r="Q23" i="1" s="1"/>
  <c r="P22" i="1"/>
  <c r="O22" i="1"/>
  <c r="N22" i="1"/>
  <c r="M22" i="1"/>
  <c r="L22" i="1"/>
  <c r="K22" i="1"/>
  <c r="I22" i="1"/>
  <c r="Q22" i="1" s="1"/>
  <c r="P21" i="1"/>
  <c r="O21" i="1"/>
  <c r="N21" i="1"/>
  <c r="M21" i="1"/>
  <c r="L21" i="1"/>
  <c r="K21" i="1"/>
  <c r="I21" i="1"/>
  <c r="Q21" i="1" s="1"/>
  <c r="P20" i="1"/>
  <c r="O20" i="1"/>
  <c r="N20" i="1"/>
  <c r="M20" i="1"/>
  <c r="L20" i="1"/>
  <c r="K20" i="1"/>
  <c r="I20" i="1"/>
  <c r="Q20" i="1" s="1"/>
  <c r="P19" i="1"/>
  <c r="O19" i="1"/>
  <c r="N19" i="1"/>
  <c r="M19" i="1"/>
  <c r="L19" i="1"/>
  <c r="K19" i="1"/>
  <c r="I19" i="1"/>
  <c r="Q19" i="1" s="1"/>
  <c r="P18" i="1"/>
  <c r="O18" i="1"/>
  <c r="N18" i="1"/>
  <c r="M18" i="1"/>
  <c r="L18" i="1"/>
  <c r="K18" i="1"/>
  <c r="I18" i="1"/>
  <c r="J18" i="1" s="1"/>
  <c r="P17" i="1"/>
  <c r="O17" i="1"/>
  <c r="N17" i="1"/>
  <c r="M17" i="1"/>
  <c r="L17" i="1"/>
  <c r="K17" i="1"/>
  <c r="I17" i="1"/>
  <c r="Q17" i="1" s="1"/>
  <c r="P16" i="1"/>
  <c r="O16" i="1"/>
  <c r="N16" i="1"/>
  <c r="M16" i="1"/>
  <c r="L16" i="1"/>
  <c r="K16" i="1"/>
  <c r="I16" i="1"/>
  <c r="Q16" i="1" s="1"/>
  <c r="P15" i="1"/>
  <c r="O15" i="1"/>
  <c r="N15" i="1"/>
  <c r="M15" i="1"/>
  <c r="L15" i="1"/>
  <c r="K15" i="1"/>
  <c r="I15" i="1"/>
  <c r="Q15" i="1" s="1"/>
  <c r="P14" i="1"/>
  <c r="O14" i="1"/>
  <c r="N14" i="1"/>
  <c r="M14" i="1"/>
  <c r="L14" i="1"/>
  <c r="K14" i="1"/>
  <c r="I14" i="1"/>
  <c r="Q14" i="1" s="1"/>
  <c r="P13" i="1"/>
  <c r="O13" i="1"/>
  <c r="N13" i="1"/>
  <c r="M13" i="1"/>
  <c r="L13" i="1"/>
  <c r="K13" i="1"/>
  <c r="I13" i="1"/>
  <c r="Q13" i="1" s="1"/>
  <c r="P12" i="1"/>
  <c r="O12" i="1"/>
  <c r="N12" i="1"/>
  <c r="M12" i="1"/>
  <c r="L12" i="1"/>
  <c r="K12" i="1"/>
  <c r="I12" i="1"/>
  <c r="J12" i="1" s="1"/>
  <c r="P11" i="1"/>
  <c r="O11" i="1"/>
  <c r="N11" i="1"/>
  <c r="M11" i="1"/>
  <c r="L11" i="1"/>
  <c r="K11" i="1"/>
  <c r="I11" i="1"/>
  <c r="Q11" i="1" s="1"/>
  <c r="P10" i="1"/>
  <c r="O10" i="1"/>
  <c r="N10" i="1"/>
  <c r="M10" i="1"/>
  <c r="L10" i="1"/>
  <c r="K10" i="1"/>
  <c r="I10" i="1"/>
  <c r="Q10" i="1" s="1"/>
  <c r="P9" i="1"/>
  <c r="O9" i="1"/>
  <c r="N9" i="1"/>
  <c r="M9" i="1"/>
  <c r="L9" i="1"/>
  <c r="K9" i="1"/>
  <c r="I9" i="1"/>
  <c r="Q9" i="1" s="1"/>
  <c r="P8" i="1"/>
  <c r="O8" i="1"/>
  <c r="N8" i="1"/>
  <c r="M8" i="1"/>
  <c r="L8" i="1"/>
  <c r="K8" i="1"/>
  <c r="I8" i="1"/>
  <c r="J8" i="1" s="1"/>
  <c r="P7" i="1"/>
  <c r="O7" i="1"/>
  <c r="N7" i="1"/>
  <c r="M7" i="1"/>
  <c r="L7" i="1"/>
  <c r="K7" i="1"/>
  <c r="I7" i="1"/>
  <c r="Q7" i="1" s="1"/>
  <c r="P6" i="1"/>
  <c r="O6" i="1"/>
  <c r="N6" i="1"/>
  <c r="M6" i="1"/>
  <c r="L6" i="1"/>
  <c r="K6" i="1"/>
  <c r="I6" i="1"/>
  <c r="Q6" i="1" s="1"/>
  <c r="P5" i="1"/>
  <c r="O5" i="1"/>
  <c r="N5" i="1"/>
  <c r="M5" i="1"/>
  <c r="L5" i="1"/>
  <c r="K5" i="1"/>
  <c r="I5" i="1"/>
  <c r="Q5" i="1" s="1"/>
  <c r="P4" i="1"/>
  <c r="O4" i="1"/>
  <c r="N4" i="1"/>
  <c r="M4" i="1"/>
  <c r="L4" i="1"/>
  <c r="K4" i="1"/>
  <c r="I4" i="1"/>
  <c r="Q4" i="1" s="1"/>
  <c r="P3" i="1"/>
  <c r="O3" i="1"/>
  <c r="N3" i="1"/>
  <c r="M3" i="1"/>
  <c r="L3" i="1"/>
  <c r="K3" i="1"/>
  <c r="I3" i="1"/>
  <c r="Q3" i="1" s="1"/>
  <c r="P2" i="1"/>
  <c r="O2" i="1"/>
  <c r="N2" i="1"/>
  <c r="M2" i="1"/>
  <c r="L2" i="1"/>
  <c r="K2" i="1"/>
  <c r="I2" i="1"/>
  <c r="J2" i="1" s="1"/>
  <c r="J94" i="1" l="1"/>
  <c r="J6" i="1"/>
  <c r="J14" i="1"/>
  <c r="J20" i="1"/>
  <c r="J30" i="1"/>
  <c r="J48" i="1"/>
  <c r="J96" i="1"/>
  <c r="J82" i="1"/>
  <c r="J4" i="1"/>
  <c r="J10" i="1"/>
  <c r="J16" i="1"/>
  <c r="J22" i="1"/>
  <c r="J26" i="1"/>
  <c r="J32" i="1"/>
  <c r="J36" i="1"/>
  <c r="J40" i="1"/>
  <c r="J44" i="1"/>
  <c r="J50" i="1"/>
  <c r="J54" i="1"/>
  <c r="J60" i="1"/>
  <c r="J68" i="1"/>
  <c r="J78" i="1"/>
  <c r="J98" i="1"/>
  <c r="Q2" i="1"/>
  <c r="Q8" i="1"/>
  <c r="Q12" i="1"/>
  <c r="Q18" i="1"/>
  <c r="Q24" i="1"/>
  <c r="Q28" i="1"/>
  <c r="Q34" i="1"/>
  <c r="Q38" i="1"/>
  <c r="Q42" i="1"/>
  <c r="Q46" i="1"/>
  <c r="Q52" i="1"/>
  <c r="Q56" i="1"/>
  <c r="Q58" i="1"/>
  <c r="Q62" i="1"/>
  <c r="Q64" i="1"/>
  <c r="Q66" i="1"/>
  <c r="Q70" i="1"/>
  <c r="Q72" i="1"/>
  <c r="Q74" i="1"/>
  <c r="Q76" i="1"/>
  <c r="Q80" i="1"/>
  <c r="Q84" i="1"/>
  <c r="Q86" i="1"/>
  <c r="Q88" i="1"/>
  <c r="Q90" i="1"/>
  <c r="Q92" i="1"/>
  <c r="Q100" i="1"/>
  <c r="J3" i="1"/>
  <c r="J5" i="1"/>
  <c r="J9" i="1"/>
  <c r="J11" i="1"/>
  <c r="J13" i="1"/>
  <c r="J15" i="1"/>
  <c r="J17" i="1"/>
  <c r="J19" i="1"/>
  <c r="J21" i="1"/>
  <c r="J23" i="1"/>
  <c r="J27" i="1"/>
  <c r="J29" i="1"/>
  <c r="J31" i="1"/>
  <c r="J33" i="1"/>
  <c r="J35" i="1"/>
  <c r="J37" i="1"/>
  <c r="J39" i="1"/>
  <c r="J41" i="1"/>
  <c r="J43" i="1"/>
  <c r="J45" i="1"/>
  <c r="J47" i="1"/>
  <c r="J49" i="1"/>
  <c r="J51" i="1"/>
  <c r="J53" i="1"/>
  <c r="J55" i="1"/>
  <c r="J57" i="1"/>
  <c r="J59" i="1"/>
  <c r="J61" i="1"/>
  <c r="J63" i="1"/>
  <c r="J65" i="1"/>
  <c r="J67" i="1"/>
  <c r="J69" i="1"/>
  <c r="J71" i="1"/>
  <c r="J73" i="1"/>
  <c r="J75" i="1"/>
  <c r="J77" i="1"/>
  <c r="J79" i="1"/>
  <c r="J81" i="1"/>
  <c r="J83" i="1"/>
  <c r="J85" i="1"/>
  <c r="J87" i="1"/>
  <c r="J89" i="1"/>
  <c r="J91" i="1"/>
  <c r="J93" i="1"/>
  <c r="J95" i="1"/>
  <c r="J97" i="1"/>
  <c r="J101" i="1"/>
  <c r="J25" i="1"/>
  <c r="J99" i="1"/>
  <c r="J7" i="1"/>
</calcChain>
</file>

<file path=xl/sharedStrings.xml><?xml version="1.0" encoding="utf-8"?>
<sst xmlns="http://schemas.openxmlformats.org/spreadsheetml/2006/main" count="417" uniqueCount="161">
  <si>
    <t>po_number</t>
  </si>
  <si>
    <t>item_code</t>
  </si>
  <si>
    <t>vendor_code</t>
  </si>
  <si>
    <t>vendor_name</t>
  </si>
  <si>
    <t>po_quantity</t>
  </si>
  <si>
    <t>grn_quantity</t>
  </si>
  <si>
    <t>invoice_quantity</t>
  </si>
  <si>
    <t>unit_price</t>
  </si>
  <si>
    <t xml:space="preserve">Exception Type </t>
  </si>
  <si>
    <t>Exception Status</t>
  </si>
  <si>
    <t xml:space="preserve">Quantity Variance (PO vs GRN) </t>
  </si>
  <si>
    <t xml:space="preserve">Quantity Variance (Invoice vs GRN) </t>
  </si>
  <si>
    <t>Total Quantity Variance</t>
  </si>
  <si>
    <t>PO Value</t>
  </si>
  <si>
    <t>Invoice Value</t>
  </si>
  <si>
    <t>Financial Impact</t>
  </si>
  <si>
    <t>Risk Level</t>
  </si>
  <si>
    <t>PO00000</t>
  </si>
  <si>
    <t>MAT104</t>
  </si>
  <si>
    <t>V008</t>
  </si>
  <si>
    <t>Vendor 8</t>
  </si>
  <si>
    <t>PO00001</t>
  </si>
  <si>
    <t>MAT111</t>
  </si>
  <si>
    <t>V010</t>
  </si>
  <si>
    <t>Vendor 10</t>
  </si>
  <si>
    <t>PO00002</t>
  </si>
  <si>
    <t>MAT116</t>
  </si>
  <si>
    <t>V006</t>
  </si>
  <si>
    <t>Vendor 6</t>
  </si>
  <si>
    <t>PO00003</t>
  </si>
  <si>
    <t>MAT107</t>
  </si>
  <si>
    <t>PO00004</t>
  </si>
  <si>
    <t>MAT109</t>
  </si>
  <si>
    <t>V001</t>
  </si>
  <si>
    <t>Vendor 1</t>
  </si>
  <si>
    <t>PO00005</t>
  </si>
  <si>
    <t>PO00006</t>
  </si>
  <si>
    <t>V002</t>
  </si>
  <si>
    <t>Vendor 2</t>
  </si>
  <si>
    <t>PO00007</t>
  </si>
  <si>
    <t>MAT108</t>
  </si>
  <si>
    <t>V005</t>
  </si>
  <si>
    <t>Vendor 5</t>
  </si>
  <si>
    <t>PO00008</t>
  </si>
  <si>
    <t>MAT106</t>
  </si>
  <si>
    <t>V012</t>
  </si>
  <si>
    <t>Vendor 12</t>
  </si>
  <si>
    <t>PO00009</t>
  </si>
  <si>
    <t>V009</t>
  </si>
  <si>
    <t>Vendor 9</t>
  </si>
  <si>
    <t>PO00010</t>
  </si>
  <si>
    <t>MAT105</t>
  </si>
  <si>
    <t>PO00011</t>
  </si>
  <si>
    <t>MAT118</t>
  </si>
  <si>
    <t>PO00012</t>
  </si>
  <si>
    <t>MAT112</t>
  </si>
  <si>
    <t>PO00013</t>
  </si>
  <si>
    <t>V004</t>
  </si>
  <si>
    <t>Vendor 4</t>
  </si>
  <si>
    <t>PO00014</t>
  </si>
  <si>
    <t>V007</t>
  </si>
  <si>
    <t>Vendor 7</t>
  </si>
  <si>
    <t>PO00015</t>
  </si>
  <si>
    <t>MAT101</t>
  </si>
  <si>
    <t>PO00016</t>
  </si>
  <si>
    <t>MAT110</t>
  </si>
  <si>
    <t>PO00017</t>
  </si>
  <si>
    <t>MAT117</t>
  </si>
  <si>
    <t>PO00018</t>
  </si>
  <si>
    <t>V011</t>
  </si>
  <si>
    <t>Vendor 11</t>
  </si>
  <si>
    <t>PO00019</t>
  </si>
  <si>
    <t>MAT103</t>
  </si>
  <si>
    <t>PO00020</t>
  </si>
  <si>
    <t>PO00021</t>
  </si>
  <si>
    <t>PO00022</t>
  </si>
  <si>
    <t>MAT119</t>
  </si>
  <si>
    <t>PO00023</t>
  </si>
  <si>
    <t>PO00024</t>
  </si>
  <si>
    <t>PO00025</t>
  </si>
  <si>
    <t>PO00026</t>
  </si>
  <si>
    <t>PO00027</t>
  </si>
  <si>
    <t>MAT114</t>
  </si>
  <si>
    <t>V003</t>
  </si>
  <si>
    <t>Vendor 3</t>
  </si>
  <si>
    <t>PO00028</t>
  </si>
  <si>
    <t>MAT113</t>
  </si>
  <si>
    <t>PO00029</t>
  </si>
  <si>
    <t>MAT102</t>
  </si>
  <si>
    <t>PO00030</t>
  </si>
  <si>
    <t>PO00031</t>
  </si>
  <si>
    <t>PO00032</t>
  </si>
  <si>
    <t>PO00033</t>
  </si>
  <si>
    <t>MAT100</t>
  </si>
  <si>
    <t>PO00034</t>
  </si>
  <si>
    <t>PO00035</t>
  </si>
  <si>
    <t>PO00036</t>
  </si>
  <si>
    <t>PO00037</t>
  </si>
  <si>
    <t>PO00038</t>
  </si>
  <si>
    <t>PO00039</t>
  </si>
  <si>
    <t>PO00040</t>
  </si>
  <si>
    <t>PO00041</t>
  </si>
  <si>
    <t>PO00042</t>
  </si>
  <si>
    <t>PO00043</t>
  </si>
  <si>
    <t>PO00044</t>
  </si>
  <si>
    <t>PO00045</t>
  </si>
  <si>
    <t>PO00046</t>
  </si>
  <si>
    <t>PO00047</t>
  </si>
  <si>
    <t>PO00048</t>
  </si>
  <si>
    <t>MAT115</t>
  </si>
  <si>
    <t>PO00049</t>
  </si>
  <si>
    <t>PO00050</t>
  </si>
  <si>
    <t>PO00051</t>
  </si>
  <si>
    <t>PO00052</t>
  </si>
  <si>
    <t>PO00053</t>
  </si>
  <si>
    <t>PO00054</t>
  </si>
  <si>
    <t>PO00055</t>
  </si>
  <si>
    <t>PO00056</t>
  </si>
  <si>
    <t>PO00057</t>
  </si>
  <si>
    <t>PO00058</t>
  </si>
  <si>
    <t>PO00059</t>
  </si>
  <si>
    <t>PO00060</t>
  </si>
  <si>
    <t>PO00061</t>
  </si>
  <si>
    <t>PO00062</t>
  </si>
  <si>
    <t>PO00063</t>
  </si>
  <si>
    <t>PO00064</t>
  </si>
  <si>
    <t>PO00065</t>
  </si>
  <si>
    <t>PO00066</t>
  </si>
  <si>
    <t>PO00067</t>
  </si>
  <si>
    <t>PO00068</t>
  </si>
  <si>
    <t>PO00069</t>
  </si>
  <si>
    <t>PO00070</t>
  </si>
  <si>
    <t>PO00071</t>
  </si>
  <si>
    <t>PO00072</t>
  </si>
  <si>
    <t>PO00073</t>
  </si>
  <si>
    <t>PO00074</t>
  </si>
  <si>
    <t>PO00075</t>
  </si>
  <si>
    <t>PO00076</t>
  </si>
  <si>
    <t>PO00077</t>
  </si>
  <si>
    <t>PO00078</t>
  </si>
  <si>
    <t>PO00079</t>
  </si>
  <si>
    <t>PO00080</t>
  </si>
  <si>
    <t>PO00081</t>
  </si>
  <si>
    <t>PO00082</t>
  </si>
  <si>
    <t>PO00083</t>
  </si>
  <si>
    <t>PO00084</t>
  </si>
  <si>
    <t>PO00085</t>
  </si>
  <si>
    <t>PO00086</t>
  </si>
  <si>
    <t>PO00087</t>
  </si>
  <si>
    <t>PO00088</t>
  </si>
  <si>
    <t>PO00089</t>
  </si>
  <si>
    <t>PO00090</t>
  </si>
  <si>
    <t>PO00091</t>
  </si>
  <si>
    <t>PO00092</t>
  </si>
  <si>
    <t>PO00093</t>
  </si>
  <si>
    <t>PO00094</t>
  </si>
  <si>
    <t>PO00095</t>
  </si>
  <si>
    <t>PO00096</t>
  </si>
  <si>
    <t>PO00097</t>
  </si>
  <si>
    <t>PO00098</t>
  </si>
  <si>
    <t>PO00099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</si>
</sst>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E4081-7897-43AA-ACAE-875DFD659165}">
  <dimension ref="A1:Q101"/>
  <sheetViews>
    <sheetView tabSelected="1" workbookViewId="0">
      <selection sqref="A1:Q101"/>
    </sheetView>
  </sheetViews>
  <sheetFormatPr defaultRowHeight="14.5" x14ac:dyDescent="0.35"/>
  <cols>
    <col min="1" max="1" width="9.81640625" bestFit="1" customWidth="1"/>
    <col min="2" max="2" width="9.26953125" bestFit="1" customWidth="1"/>
    <col min="3" max="3" width="11.08984375" bestFit="1" customWidth="1"/>
    <col min="4" max="4" width="11.6328125" bestFit="1" customWidth="1"/>
    <col min="5" max="5" width="10.1796875" bestFit="1" customWidth="1"/>
    <col min="6" max="6" width="10.7265625" bestFit="1" customWidth="1"/>
    <col min="7" max="7" width="14" bestFit="1" customWidth="1"/>
    <col min="8" max="8" width="8.81640625" bestFit="1" customWidth="1"/>
    <col min="9" max="9" width="19.36328125" bestFit="1" customWidth="1"/>
    <col min="10" max="10" width="14.36328125" bestFit="1" customWidth="1"/>
    <col min="11" max="11" width="26.1796875" bestFit="1" customWidth="1"/>
    <col min="12" max="12" width="29.54296875" bestFit="1" customWidth="1"/>
    <col min="13" max="13" width="19.81640625" bestFit="1" customWidth="1"/>
    <col min="14" max="14" width="8.1796875" bestFit="1" customWidth="1"/>
    <col min="15" max="15" width="11.453125" bestFit="1" customWidth="1"/>
    <col min="16" max="16" width="14.26953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>
        <v>73</v>
      </c>
      <c r="F2">
        <v>73</v>
      </c>
      <c r="G2">
        <v>73</v>
      </c>
      <c r="H2">
        <v>440</v>
      </c>
      <c r="I2" t="str">
        <f>IF(AND(E2=F2,F2=G2),"Match",
IF(AND(E2&lt;&gt;F2,F2=G2),"PO-GRN Mismatch",
IF(AND(E2=F2,F2&lt;&gt;G2),"GRN-Invoice Mismatch",
"All Three Mismatch")))</f>
        <v>Match</v>
      </c>
      <c r="J2" t="str">
        <f>IF(I2="Match","Valid","Exception")</f>
        <v>Valid</v>
      </c>
      <c r="K2">
        <f>ABS(E2-F2)</f>
        <v>0</v>
      </c>
      <c r="L2">
        <f>ABS(F2-G2)</f>
        <v>0</v>
      </c>
      <c r="M2">
        <f>ABS(E2-G2)</f>
        <v>0</v>
      </c>
      <c r="N2">
        <f>E2*H2</f>
        <v>32120</v>
      </c>
      <c r="O2">
        <f>G2*H2</f>
        <v>32120</v>
      </c>
      <c r="P2">
        <f>ABS(E2-G2)*H2</f>
        <v>0</v>
      </c>
      <c r="Q2" t="str">
        <f>IF(I2="All Three Mismatch","High",
IF(I2="PO-GRN Mismatch","Medium",
IF(I2="GRN-Invoice Mismatch","Medium","Low")))</f>
        <v>Low</v>
      </c>
    </row>
    <row r="3" spans="1:17" x14ac:dyDescent="0.35">
      <c r="A3" t="s">
        <v>21</v>
      </c>
      <c r="B3" t="s">
        <v>22</v>
      </c>
      <c r="C3" t="s">
        <v>23</v>
      </c>
      <c r="D3" t="s">
        <v>24</v>
      </c>
      <c r="E3">
        <v>118</v>
      </c>
      <c r="F3">
        <v>118</v>
      </c>
      <c r="G3">
        <v>118</v>
      </c>
      <c r="H3">
        <v>118</v>
      </c>
      <c r="I3" t="str">
        <f t="shared" ref="I3:I66" si="0">IF(AND(E3=F3,F3=G3),"Match",
IF(AND(E3&lt;&gt;F3,F3=G3),"PO-GRN Mismatch",
IF(AND(E3=F3,F3&lt;&gt;G3),"GRN-Invoice Mismatch",
"All Three Mismatch")))</f>
        <v>Match</v>
      </c>
      <c r="J3" t="str">
        <f t="shared" ref="J3:J66" si="1">IF(I3="Match","Valid","Exception")</f>
        <v>Valid</v>
      </c>
      <c r="K3">
        <f t="shared" ref="K3:L66" si="2">ABS(E3-F3)</f>
        <v>0</v>
      </c>
      <c r="L3">
        <f t="shared" si="2"/>
        <v>0</v>
      </c>
      <c r="M3">
        <f t="shared" ref="M3:M66" si="3">ABS(E3-G3)</f>
        <v>0</v>
      </c>
      <c r="N3">
        <f t="shared" ref="N3:N66" si="4">E3*H3</f>
        <v>13924</v>
      </c>
      <c r="O3">
        <f t="shared" ref="O3:O66" si="5">G3*H3</f>
        <v>13924</v>
      </c>
      <c r="P3">
        <f t="shared" ref="P3:P66" si="6">ABS(E3-G3)*H3</f>
        <v>0</v>
      </c>
      <c r="Q3" t="str">
        <f t="shared" ref="Q3:Q66" si="7">IF(I3="All Three Mismatch","High",
IF(I3="PO-GRN Mismatch","Medium",
IF(I3="GRN-Invoice Mismatch","Medium","Low")))</f>
        <v>Low</v>
      </c>
    </row>
    <row r="4" spans="1:17" x14ac:dyDescent="0.35">
      <c r="A4" t="s">
        <v>25</v>
      </c>
      <c r="B4" t="s">
        <v>26</v>
      </c>
      <c r="C4" t="s">
        <v>27</v>
      </c>
      <c r="D4" t="s">
        <v>28</v>
      </c>
      <c r="E4">
        <v>91</v>
      </c>
      <c r="F4">
        <v>86</v>
      </c>
      <c r="G4">
        <v>86</v>
      </c>
      <c r="H4">
        <v>328</v>
      </c>
      <c r="I4" t="str">
        <f t="shared" si="0"/>
        <v>PO-GRN Mismatch</v>
      </c>
      <c r="J4" t="str">
        <f t="shared" si="1"/>
        <v>Exception</v>
      </c>
      <c r="K4">
        <f t="shared" si="2"/>
        <v>5</v>
      </c>
      <c r="L4">
        <f t="shared" si="2"/>
        <v>0</v>
      </c>
      <c r="M4">
        <f t="shared" si="3"/>
        <v>5</v>
      </c>
      <c r="N4">
        <f t="shared" si="4"/>
        <v>29848</v>
      </c>
      <c r="O4">
        <f t="shared" si="5"/>
        <v>28208</v>
      </c>
      <c r="P4">
        <f t="shared" si="6"/>
        <v>1640</v>
      </c>
      <c r="Q4" t="str">
        <f t="shared" si="7"/>
        <v>Medium</v>
      </c>
    </row>
    <row r="5" spans="1:17" x14ac:dyDescent="0.35">
      <c r="A5" t="s">
        <v>29</v>
      </c>
      <c r="B5" t="s">
        <v>30</v>
      </c>
      <c r="C5" t="s">
        <v>27</v>
      </c>
      <c r="D5" t="s">
        <v>28</v>
      </c>
      <c r="E5">
        <v>182</v>
      </c>
      <c r="F5">
        <v>182</v>
      </c>
      <c r="G5">
        <v>182</v>
      </c>
      <c r="H5">
        <v>264</v>
      </c>
      <c r="I5" t="str">
        <f t="shared" si="0"/>
        <v>Match</v>
      </c>
      <c r="J5" t="str">
        <f t="shared" si="1"/>
        <v>Valid</v>
      </c>
      <c r="K5">
        <f t="shared" si="2"/>
        <v>0</v>
      </c>
      <c r="L5">
        <f t="shared" si="2"/>
        <v>0</v>
      </c>
      <c r="M5">
        <f t="shared" si="3"/>
        <v>0</v>
      </c>
      <c r="N5">
        <f t="shared" si="4"/>
        <v>48048</v>
      </c>
      <c r="O5">
        <f t="shared" si="5"/>
        <v>48048</v>
      </c>
      <c r="P5">
        <f t="shared" si="6"/>
        <v>0</v>
      </c>
      <c r="Q5" t="str">
        <f t="shared" si="7"/>
        <v>Low</v>
      </c>
    </row>
    <row r="6" spans="1:17" x14ac:dyDescent="0.35">
      <c r="A6" t="s">
        <v>31</v>
      </c>
      <c r="B6" t="s">
        <v>32</v>
      </c>
      <c r="C6" t="s">
        <v>33</v>
      </c>
      <c r="D6" t="s">
        <v>34</v>
      </c>
      <c r="E6">
        <v>147</v>
      </c>
      <c r="F6">
        <v>147</v>
      </c>
      <c r="G6">
        <v>147</v>
      </c>
      <c r="H6">
        <v>155</v>
      </c>
      <c r="I6" t="str">
        <f t="shared" si="0"/>
        <v>Match</v>
      </c>
      <c r="J6" t="str">
        <f t="shared" si="1"/>
        <v>Valid</v>
      </c>
      <c r="K6">
        <f t="shared" si="2"/>
        <v>0</v>
      </c>
      <c r="L6">
        <f t="shared" si="2"/>
        <v>0</v>
      </c>
      <c r="M6">
        <f t="shared" si="3"/>
        <v>0</v>
      </c>
      <c r="N6">
        <f t="shared" si="4"/>
        <v>22785</v>
      </c>
      <c r="O6">
        <f t="shared" si="5"/>
        <v>22785</v>
      </c>
      <c r="P6">
        <f t="shared" si="6"/>
        <v>0</v>
      </c>
      <c r="Q6" t="str">
        <f t="shared" si="7"/>
        <v>Low</v>
      </c>
    </row>
    <row r="7" spans="1:17" x14ac:dyDescent="0.35">
      <c r="A7" t="s">
        <v>35</v>
      </c>
      <c r="B7" t="s">
        <v>26</v>
      </c>
      <c r="C7" t="s">
        <v>33</v>
      </c>
      <c r="D7" t="s">
        <v>34</v>
      </c>
      <c r="E7">
        <v>176</v>
      </c>
      <c r="F7">
        <v>176</v>
      </c>
      <c r="G7">
        <v>176</v>
      </c>
      <c r="H7">
        <v>375</v>
      </c>
      <c r="I7" t="str">
        <f t="shared" si="0"/>
        <v>Match</v>
      </c>
      <c r="J7" t="str">
        <f t="shared" si="1"/>
        <v>Valid</v>
      </c>
      <c r="K7">
        <f t="shared" si="2"/>
        <v>0</v>
      </c>
      <c r="L7">
        <f t="shared" si="2"/>
        <v>0</v>
      </c>
      <c r="M7">
        <f t="shared" si="3"/>
        <v>0</v>
      </c>
      <c r="N7">
        <f t="shared" si="4"/>
        <v>66000</v>
      </c>
      <c r="O7">
        <f t="shared" si="5"/>
        <v>66000</v>
      </c>
      <c r="P7">
        <f t="shared" si="6"/>
        <v>0</v>
      </c>
      <c r="Q7" t="str">
        <f t="shared" si="7"/>
        <v>Low</v>
      </c>
    </row>
    <row r="8" spans="1:17" x14ac:dyDescent="0.35">
      <c r="A8" t="s">
        <v>36</v>
      </c>
      <c r="B8" t="s">
        <v>30</v>
      </c>
      <c r="C8" t="s">
        <v>37</v>
      </c>
      <c r="D8" t="s">
        <v>38</v>
      </c>
      <c r="E8">
        <v>84</v>
      </c>
      <c r="F8">
        <v>84</v>
      </c>
      <c r="G8">
        <v>84</v>
      </c>
      <c r="H8">
        <v>416</v>
      </c>
      <c r="I8" t="str">
        <f t="shared" si="0"/>
        <v>Match</v>
      </c>
      <c r="J8" t="str">
        <f t="shared" si="1"/>
        <v>Valid</v>
      </c>
      <c r="K8">
        <f t="shared" si="2"/>
        <v>0</v>
      </c>
      <c r="L8">
        <f t="shared" si="2"/>
        <v>0</v>
      </c>
      <c r="M8">
        <f t="shared" si="3"/>
        <v>0</v>
      </c>
      <c r="N8">
        <f t="shared" si="4"/>
        <v>34944</v>
      </c>
      <c r="O8">
        <f t="shared" si="5"/>
        <v>34944</v>
      </c>
      <c r="P8">
        <f t="shared" si="6"/>
        <v>0</v>
      </c>
      <c r="Q8" t="str">
        <f t="shared" si="7"/>
        <v>Low</v>
      </c>
    </row>
    <row r="9" spans="1:17" x14ac:dyDescent="0.35">
      <c r="A9" t="s">
        <v>39</v>
      </c>
      <c r="B9" t="s">
        <v>40</v>
      </c>
      <c r="C9" t="s">
        <v>41</v>
      </c>
      <c r="D9" t="s">
        <v>42</v>
      </c>
      <c r="E9">
        <v>96</v>
      </c>
      <c r="F9">
        <v>96</v>
      </c>
      <c r="G9">
        <v>96</v>
      </c>
      <c r="H9">
        <v>384</v>
      </c>
      <c r="I9" t="str">
        <f t="shared" si="0"/>
        <v>Match</v>
      </c>
      <c r="J9" t="str">
        <f t="shared" si="1"/>
        <v>Valid</v>
      </c>
      <c r="K9">
        <f t="shared" si="2"/>
        <v>0</v>
      </c>
      <c r="L9">
        <f t="shared" si="2"/>
        <v>0</v>
      </c>
      <c r="M9">
        <f t="shared" si="3"/>
        <v>0</v>
      </c>
      <c r="N9">
        <f t="shared" si="4"/>
        <v>36864</v>
      </c>
      <c r="O9">
        <f t="shared" si="5"/>
        <v>36864</v>
      </c>
      <c r="P9">
        <f t="shared" si="6"/>
        <v>0</v>
      </c>
      <c r="Q9" t="str">
        <f t="shared" si="7"/>
        <v>Low</v>
      </c>
    </row>
    <row r="10" spans="1:17" x14ac:dyDescent="0.35">
      <c r="A10" t="s">
        <v>43</v>
      </c>
      <c r="B10" t="s">
        <v>44</v>
      </c>
      <c r="C10" t="s">
        <v>45</v>
      </c>
      <c r="D10" t="s">
        <v>46</v>
      </c>
      <c r="E10">
        <v>57</v>
      </c>
      <c r="F10">
        <v>57</v>
      </c>
      <c r="G10">
        <v>57</v>
      </c>
      <c r="H10">
        <v>233</v>
      </c>
      <c r="I10" t="str">
        <f t="shared" si="0"/>
        <v>Match</v>
      </c>
      <c r="J10" t="str">
        <f t="shared" si="1"/>
        <v>Valid</v>
      </c>
      <c r="K10">
        <f t="shared" si="2"/>
        <v>0</v>
      </c>
      <c r="L10">
        <f t="shared" si="2"/>
        <v>0</v>
      </c>
      <c r="M10">
        <f t="shared" si="3"/>
        <v>0</v>
      </c>
      <c r="N10">
        <f t="shared" si="4"/>
        <v>13281</v>
      </c>
      <c r="O10">
        <f t="shared" si="5"/>
        <v>13281</v>
      </c>
      <c r="P10">
        <f t="shared" si="6"/>
        <v>0</v>
      </c>
      <c r="Q10" t="str">
        <f t="shared" si="7"/>
        <v>Low</v>
      </c>
    </row>
    <row r="11" spans="1:17" x14ac:dyDescent="0.35">
      <c r="A11" t="s">
        <v>47</v>
      </c>
      <c r="B11" t="s">
        <v>30</v>
      </c>
      <c r="C11" t="s">
        <v>48</v>
      </c>
      <c r="D11" t="s">
        <v>49</v>
      </c>
      <c r="E11">
        <v>54</v>
      </c>
      <c r="F11">
        <v>54</v>
      </c>
      <c r="G11">
        <v>35</v>
      </c>
      <c r="H11">
        <v>459</v>
      </c>
      <c r="I11" t="str">
        <f t="shared" si="0"/>
        <v>GRN-Invoice Mismatch</v>
      </c>
      <c r="J11" t="str">
        <f t="shared" si="1"/>
        <v>Exception</v>
      </c>
      <c r="K11">
        <f t="shared" si="2"/>
        <v>0</v>
      </c>
      <c r="L11">
        <f t="shared" si="2"/>
        <v>19</v>
      </c>
      <c r="M11">
        <f t="shared" si="3"/>
        <v>19</v>
      </c>
      <c r="N11">
        <f t="shared" si="4"/>
        <v>24786</v>
      </c>
      <c r="O11">
        <f t="shared" si="5"/>
        <v>16065</v>
      </c>
      <c r="P11">
        <f t="shared" si="6"/>
        <v>8721</v>
      </c>
      <c r="Q11" t="str">
        <f t="shared" si="7"/>
        <v>Medium</v>
      </c>
    </row>
    <row r="12" spans="1:17" x14ac:dyDescent="0.35">
      <c r="A12" t="s">
        <v>50</v>
      </c>
      <c r="B12" t="s">
        <v>51</v>
      </c>
      <c r="C12" t="s">
        <v>37</v>
      </c>
      <c r="D12" t="s">
        <v>38</v>
      </c>
      <c r="E12">
        <v>163</v>
      </c>
      <c r="F12">
        <v>163</v>
      </c>
      <c r="G12">
        <v>163</v>
      </c>
      <c r="H12">
        <v>123</v>
      </c>
      <c r="I12" t="str">
        <f t="shared" si="0"/>
        <v>Match</v>
      </c>
      <c r="J12" t="str">
        <f t="shared" si="1"/>
        <v>Valid</v>
      </c>
      <c r="K12">
        <f t="shared" si="2"/>
        <v>0</v>
      </c>
      <c r="L12">
        <f t="shared" si="2"/>
        <v>0</v>
      </c>
      <c r="M12">
        <f t="shared" si="3"/>
        <v>0</v>
      </c>
      <c r="N12">
        <f t="shared" si="4"/>
        <v>20049</v>
      </c>
      <c r="O12">
        <f t="shared" si="5"/>
        <v>20049</v>
      </c>
      <c r="P12">
        <f t="shared" si="6"/>
        <v>0</v>
      </c>
      <c r="Q12" t="str">
        <f t="shared" si="7"/>
        <v>Low</v>
      </c>
    </row>
    <row r="13" spans="1:17" x14ac:dyDescent="0.35">
      <c r="A13" t="s">
        <v>52</v>
      </c>
      <c r="B13" t="s">
        <v>53</v>
      </c>
      <c r="C13" t="s">
        <v>19</v>
      </c>
      <c r="D13" t="s">
        <v>20</v>
      </c>
      <c r="E13">
        <v>119</v>
      </c>
      <c r="F13">
        <v>119</v>
      </c>
      <c r="G13">
        <v>119</v>
      </c>
      <c r="H13">
        <v>356</v>
      </c>
      <c r="I13" t="str">
        <f t="shared" si="0"/>
        <v>Match</v>
      </c>
      <c r="J13" t="str">
        <f t="shared" si="1"/>
        <v>Valid</v>
      </c>
      <c r="K13">
        <f t="shared" si="2"/>
        <v>0</v>
      </c>
      <c r="L13">
        <f t="shared" si="2"/>
        <v>0</v>
      </c>
      <c r="M13">
        <f t="shared" si="3"/>
        <v>0</v>
      </c>
      <c r="N13">
        <f t="shared" si="4"/>
        <v>42364</v>
      </c>
      <c r="O13">
        <f t="shared" si="5"/>
        <v>42364</v>
      </c>
      <c r="P13">
        <f t="shared" si="6"/>
        <v>0</v>
      </c>
      <c r="Q13" t="str">
        <f t="shared" si="7"/>
        <v>Low</v>
      </c>
    </row>
    <row r="14" spans="1:17" x14ac:dyDescent="0.35">
      <c r="A14" t="s">
        <v>54</v>
      </c>
      <c r="B14" t="s">
        <v>55</v>
      </c>
      <c r="C14" t="s">
        <v>37</v>
      </c>
      <c r="D14" t="s">
        <v>38</v>
      </c>
      <c r="E14">
        <v>121</v>
      </c>
      <c r="F14">
        <v>121</v>
      </c>
      <c r="G14">
        <v>121</v>
      </c>
      <c r="H14">
        <v>170</v>
      </c>
      <c r="I14" t="str">
        <f t="shared" si="0"/>
        <v>Match</v>
      </c>
      <c r="J14" t="str">
        <f t="shared" si="1"/>
        <v>Valid</v>
      </c>
      <c r="K14">
        <f t="shared" si="2"/>
        <v>0</v>
      </c>
      <c r="L14">
        <f t="shared" si="2"/>
        <v>0</v>
      </c>
      <c r="M14">
        <f t="shared" si="3"/>
        <v>0</v>
      </c>
      <c r="N14">
        <f t="shared" si="4"/>
        <v>20570</v>
      </c>
      <c r="O14">
        <f t="shared" si="5"/>
        <v>20570</v>
      </c>
      <c r="P14">
        <f t="shared" si="6"/>
        <v>0</v>
      </c>
      <c r="Q14" t="str">
        <f t="shared" si="7"/>
        <v>Low</v>
      </c>
    </row>
    <row r="15" spans="1:17" x14ac:dyDescent="0.35">
      <c r="A15" t="s">
        <v>56</v>
      </c>
      <c r="B15" t="s">
        <v>18</v>
      </c>
      <c r="C15" t="s">
        <v>57</v>
      </c>
      <c r="D15" t="s">
        <v>58</v>
      </c>
      <c r="E15">
        <v>188</v>
      </c>
      <c r="F15">
        <v>188</v>
      </c>
      <c r="G15">
        <v>188</v>
      </c>
      <c r="H15">
        <v>442</v>
      </c>
      <c r="I15" t="str">
        <f t="shared" si="0"/>
        <v>Match</v>
      </c>
      <c r="J15" t="str">
        <f t="shared" si="1"/>
        <v>Valid</v>
      </c>
      <c r="K15">
        <f t="shared" si="2"/>
        <v>0</v>
      </c>
      <c r="L15">
        <f t="shared" si="2"/>
        <v>0</v>
      </c>
      <c r="M15">
        <f t="shared" si="3"/>
        <v>0</v>
      </c>
      <c r="N15">
        <f t="shared" si="4"/>
        <v>83096</v>
      </c>
      <c r="O15">
        <f t="shared" si="5"/>
        <v>83096</v>
      </c>
      <c r="P15">
        <f t="shared" si="6"/>
        <v>0</v>
      </c>
      <c r="Q15" t="str">
        <f t="shared" si="7"/>
        <v>Low</v>
      </c>
    </row>
    <row r="16" spans="1:17" x14ac:dyDescent="0.35">
      <c r="A16" t="s">
        <v>59</v>
      </c>
      <c r="B16" t="s">
        <v>51</v>
      </c>
      <c r="C16" t="s">
        <v>60</v>
      </c>
      <c r="D16" t="s">
        <v>61</v>
      </c>
      <c r="E16">
        <v>196</v>
      </c>
      <c r="F16">
        <v>196</v>
      </c>
      <c r="G16">
        <v>196</v>
      </c>
      <c r="H16">
        <v>109</v>
      </c>
      <c r="I16" t="str">
        <f t="shared" si="0"/>
        <v>Match</v>
      </c>
      <c r="J16" t="str">
        <f t="shared" si="1"/>
        <v>Valid</v>
      </c>
      <c r="K16">
        <f t="shared" si="2"/>
        <v>0</v>
      </c>
      <c r="L16">
        <f t="shared" si="2"/>
        <v>0</v>
      </c>
      <c r="M16">
        <f t="shared" si="3"/>
        <v>0</v>
      </c>
      <c r="N16">
        <f t="shared" si="4"/>
        <v>21364</v>
      </c>
      <c r="O16">
        <f t="shared" si="5"/>
        <v>21364</v>
      </c>
      <c r="P16">
        <f t="shared" si="6"/>
        <v>0</v>
      </c>
      <c r="Q16" t="str">
        <f t="shared" si="7"/>
        <v>Low</v>
      </c>
    </row>
    <row r="17" spans="1:17" x14ac:dyDescent="0.35">
      <c r="A17" t="s">
        <v>62</v>
      </c>
      <c r="B17" t="s">
        <v>63</v>
      </c>
      <c r="C17" t="s">
        <v>60</v>
      </c>
      <c r="D17" t="s">
        <v>61</v>
      </c>
      <c r="E17">
        <v>149</v>
      </c>
      <c r="F17">
        <v>143</v>
      </c>
      <c r="G17">
        <v>143</v>
      </c>
      <c r="H17">
        <v>497</v>
      </c>
      <c r="I17" t="str">
        <f t="shared" si="0"/>
        <v>PO-GRN Mismatch</v>
      </c>
      <c r="J17" t="str">
        <f t="shared" si="1"/>
        <v>Exception</v>
      </c>
      <c r="K17">
        <f t="shared" si="2"/>
        <v>6</v>
      </c>
      <c r="L17">
        <f t="shared" si="2"/>
        <v>0</v>
      </c>
      <c r="M17">
        <f t="shared" si="3"/>
        <v>6</v>
      </c>
      <c r="N17">
        <f t="shared" si="4"/>
        <v>74053</v>
      </c>
      <c r="O17">
        <f t="shared" si="5"/>
        <v>71071</v>
      </c>
      <c r="P17">
        <f t="shared" si="6"/>
        <v>2982</v>
      </c>
      <c r="Q17" t="str">
        <f t="shared" si="7"/>
        <v>Medium</v>
      </c>
    </row>
    <row r="18" spans="1:17" x14ac:dyDescent="0.35">
      <c r="A18" t="s">
        <v>64</v>
      </c>
      <c r="B18" t="s">
        <v>65</v>
      </c>
      <c r="C18" t="s">
        <v>57</v>
      </c>
      <c r="D18" t="s">
        <v>58</v>
      </c>
      <c r="E18">
        <v>142</v>
      </c>
      <c r="F18">
        <v>142</v>
      </c>
      <c r="G18">
        <v>142</v>
      </c>
      <c r="H18">
        <v>466</v>
      </c>
      <c r="I18" t="str">
        <f t="shared" si="0"/>
        <v>Match</v>
      </c>
      <c r="J18" t="str">
        <f t="shared" si="1"/>
        <v>Valid</v>
      </c>
      <c r="K18">
        <f t="shared" si="2"/>
        <v>0</v>
      </c>
      <c r="L18">
        <f t="shared" si="2"/>
        <v>0</v>
      </c>
      <c r="M18">
        <f t="shared" si="3"/>
        <v>0</v>
      </c>
      <c r="N18">
        <f t="shared" si="4"/>
        <v>66172</v>
      </c>
      <c r="O18">
        <f t="shared" si="5"/>
        <v>66172</v>
      </c>
      <c r="P18">
        <f t="shared" si="6"/>
        <v>0</v>
      </c>
      <c r="Q18" t="str">
        <f t="shared" si="7"/>
        <v>Low</v>
      </c>
    </row>
    <row r="19" spans="1:17" x14ac:dyDescent="0.35">
      <c r="A19" t="s">
        <v>66</v>
      </c>
      <c r="B19" t="s">
        <v>67</v>
      </c>
      <c r="C19" t="s">
        <v>60</v>
      </c>
      <c r="D19" t="s">
        <v>61</v>
      </c>
      <c r="E19">
        <v>161</v>
      </c>
      <c r="F19">
        <v>161</v>
      </c>
      <c r="G19">
        <v>146</v>
      </c>
      <c r="H19">
        <v>127</v>
      </c>
      <c r="I19" t="str">
        <f t="shared" si="0"/>
        <v>GRN-Invoice Mismatch</v>
      </c>
      <c r="J19" t="str">
        <f t="shared" si="1"/>
        <v>Exception</v>
      </c>
      <c r="K19">
        <f t="shared" si="2"/>
        <v>0</v>
      </c>
      <c r="L19">
        <f t="shared" si="2"/>
        <v>15</v>
      </c>
      <c r="M19">
        <f t="shared" si="3"/>
        <v>15</v>
      </c>
      <c r="N19">
        <f t="shared" si="4"/>
        <v>20447</v>
      </c>
      <c r="O19">
        <f t="shared" si="5"/>
        <v>18542</v>
      </c>
      <c r="P19">
        <f t="shared" si="6"/>
        <v>1905</v>
      </c>
      <c r="Q19" t="str">
        <f t="shared" si="7"/>
        <v>Medium</v>
      </c>
    </row>
    <row r="20" spans="1:17" x14ac:dyDescent="0.35">
      <c r="A20" t="s">
        <v>68</v>
      </c>
      <c r="B20" t="s">
        <v>22</v>
      </c>
      <c r="C20" t="s">
        <v>69</v>
      </c>
      <c r="D20" t="s">
        <v>70</v>
      </c>
      <c r="E20">
        <v>133</v>
      </c>
      <c r="F20">
        <v>133</v>
      </c>
      <c r="G20">
        <v>133</v>
      </c>
      <c r="H20">
        <v>227</v>
      </c>
      <c r="I20" t="str">
        <f t="shared" si="0"/>
        <v>Match</v>
      </c>
      <c r="J20" t="str">
        <f t="shared" si="1"/>
        <v>Valid</v>
      </c>
      <c r="K20">
        <f t="shared" si="2"/>
        <v>0</v>
      </c>
      <c r="L20">
        <f t="shared" si="2"/>
        <v>0</v>
      </c>
      <c r="M20">
        <f t="shared" si="3"/>
        <v>0</v>
      </c>
      <c r="N20">
        <f t="shared" si="4"/>
        <v>30191</v>
      </c>
      <c r="O20">
        <f t="shared" si="5"/>
        <v>30191</v>
      </c>
      <c r="P20">
        <f t="shared" si="6"/>
        <v>0</v>
      </c>
      <c r="Q20" t="str">
        <f t="shared" si="7"/>
        <v>Low</v>
      </c>
    </row>
    <row r="21" spans="1:17" x14ac:dyDescent="0.35">
      <c r="A21" t="s">
        <v>71</v>
      </c>
      <c r="B21" t="s">
        <v>72</v>
      </c>
      <c r="C21" t="s">
        <v>27</v>
      </c>
      <c r="D21" t="s">
        <v>28</v>
      </c>
      <c r="E21">
        <v>158</v>
      </c>
      <c r="F21">
        <v>153</v>
      </c>
      <c r="G21">
        <v>153</v>
      </c>
      <c r="H21">
        <v>371</v>
      </c>
      <c r="I21" t="str">
        <f t="shared" si="0"/>
        <v>PO-GRN Mismatch</v>
      </c>
      <c r="J21" t="str">
        <f t="shared" si="1"/>
        <v>Exception</v>
      </c>
      <c r="K21">
        <f t="shared" si="2"/>
        <v>5</v>
      </c>
      <c r="L21">
        <f t="shared" si="2"/>
        <v>0</v>
      </c>
      <c r="M21">
        <f t="shared" si="3"/>
        <v>5</v>
      </c>
      <c r="N21">
        <f t="shared" si="4"/>
        <v>58618</v>
      </c>
      <c r="O21">
        <f t="shared" si="5"/>
        <v>56763</v>
      </c>
      <c r="P21">
        <f t="shared" si="6"/>
        <v>1855</v>
      </c>
      <c r="Q21" t="str">
        <f t="shared" si="7"/>
        <v>Medium</v>
      </c>
    </row>
    <row r="22" spans="1:17" x14ac:dyDescent="0.35">
      <c r="A22" t="s">
        <v>73</v>
      </c>
      <c r="B22" t="s">
        <v>44</v>
      </c>
      <c r="C22" t="s">
        <v>60</v>
      </c>
      <c r="D22" t="s">
        <v>61</v>
      </c>
      <c r="E22">
        <v>97</v>
      </c>
      <c r="F22">
        <v>97</v>
      </c>
      <c r="G22">
        <v>97</v>
      </c>
      <c r="H22">
        <v>358</v>
      </c>
      <c r="I22" t="str">
        <f t="shared" si="0"/>
        <v>Match</v>
      </c>
      <c r="J22" t="str">
        <f t="shared" si="1"/>
        <v>Valid</v>
      </c>
      <c r="K22">
        <f t="shared" si="2"/>
        <v>0</v>
      </c>
      <c r="L22">
        <f t="shared" si="2"/>
        <v>0</v>
      </c>
      <c r="M22">
        <f t="shared" si="3"/>
        <v>0</v>
      </c>
      <c r="N22">
        <f t="shared" si="4"/>
        <v>34726</v>
      </c>
      <c r="O22">
        <f t="shared" si="5"/>
        <v>34726</v>
      </c>
      <c r="P22">
        <f t="shared" si="6"/>
        <v>0</v>
      </c>
      <c r="Q22" t="str">
        <f t="shared" si="7"/>
        <v>Low</v>
      </c>
    </row>
    <row r="23" spans="1:17" x14ac:dyDescent="0.35">
      <c r="A23" t="s">
        <v>74</v>
      </c>
      <c r="B23" t="s">
        <v>55</v>
      </c>
      <c r="C23" t="s">
        <v>60</v>
      </c>
      <c r="D23" t="s">
        <v>61</v>
      </c>
      <c r="E23">
        <v>55</v>
      </c>
      <c r="F23">
        <v>55</v>
      </c>
      <c r="G23">
        <v>55</v>
      </c>
      <c r="H23">
        <v>497</v>
      </c>
      <c r="I23" t="str">
        <f t="shared" si="0"/>
        <v>Match</v>
      </c>
      <c r="J23" t="str">
        <f t="shared" si="1"/>
        <v>Valid</v>
      </c>
      <c r="K23">
        <f t="shared" si="2"/>
        <v>0</v>
      </c>
      <c r="L23">
        <f t="shared" si="2"/>
        <v>0</v>
      </c>
      <c r="M23">
        <f t="shared" si="3"/>
        <v>0</v>
      </c>
      <c r="N23">
        <f t="shared" si="4"/>
        <v>27335</v>
      </c>
      <c r="O23">
        <f t="shared" si="5"/>
        <v>27335</v>
      </c>
      <c r="P23">
        <f t="shared" si="6"/>
        <v>0</v>
      </c>
      <c r="Q23" t="str">
        <f t="shared" si="7"/>
        <v>Low</v>
      </c>
    </row>
    <row r="24" spans="1:17" x14ac:dyDescent="0.35">
      <c r="A24" t="s">
        <v>75</v>
      </c>
      <c r="B24" t="s">
        <v>76</v>
      </c>
      <c r="C24" t="s">
        <v>33</v>
      </c>
      <c r="D24" t="s">
        <v>34</v>
      </c>
      <c r="E24">
        <v>166</v>
      </c>
      <c r="F24">
        <v>160</v>
      </c>
      <c r="G24">
        <v>160</v>
      </c>
      <c r="H24">
        <v>236</v>
      </c>
      <c r="I24" t="str">
        <f t="shared" si="0"/>
        <v>PO-GRN Mismatch</v>
      </c>
      <c r="J24" t="str">
        <f t="shared" si="1"/>
        <v>Exception</v>
      </c>
      <c r="K24">
        <f t="shared" si="2"/>
        <v>6</v>
      </c>
      <c r="L24">
        <f t="shared" si="2"/>
        <v>0</v>
      </c>
      <c r="M24">
        <f t="shared" si="3"/>
        <v>6</v>
      </c>
      <c r="N24">
        <f t="shared" si="4"/>
        <v>39176</v>
      </c>
      <c r="O24">
        <f t="shared" si="5"/>
        <v>37760</v>
      </c>
      <c r="P24">
        <f t="shared" si="6"/>
        <v>1416</v>
      </c>
      <c r="Q24" t="str">
        <f t="shared" si="7"/>
        <v>Medium</v>
      </c>
    </row>
    <row r="25" spans="1:17" x14ac:dyDescent="0.35">
      <c r="A25" t="s">
        <v>77</v>
      </c>
      <c r="B25" t="s">
        <v>72</v>
      </c>
      <c r="C25" t="s">
        <v>23</v>
      </c>
      <c r="D25" t="s">
        <v>24</v>
      </c>
      <c r="E25">
        <v>119</v>
      </c>
      <c r="F25">
        <v>113</v>
      </c>
      <c r="G25">
        <v>113</v>
      </c>
      <c r="H25">
        <v>228</v>
      </c>
      <c r="I25" t="str">
        <f t="shared" si="0"/>
        <v>PO-GRN Mismatch</v>
      </c>
      <c r="J25" t="str">
        <f t="shared" si="1"/>
        <v>Exception</v>
      </c>
      <c r="K25">
        <f t="shared" si="2"/>
        <v>6</v>
      </c>
      <c r="L25">
        <f t="shared" si="2"/>
        <v>0</v>
      </c>
      <c r="M25">
        <f t="shared" si="3"/>
        <v>6</v>
      </c>
      <c r="N25">
        <f t="shared" si="4"/>
        <v>27132</v>
      </c>
      <c r="O25">
        <f t="shared" si="5"/>
        <v>25764</v>
      </c>
      <c r="P25">
        <f t="shared" si="6"/>
        <v>1368</v>
      </c>
      <c r="Q25" t="str">
        <f t="shared" si="7"/>
        <v>Medium</v>
      </c>
    </row>
    <row r="26" spans="1:17" x14ac:dyDescent="0.35">
      <c r="A26" t="s">
        <v>78</v>
      </c>
      <c r="B26" t="s">
        <v>30</v>
      </c>
      <c r="C26" t="s">
        <v>60</v>
      </c>
      <c r="D26" t="s">
        <v>61</v>
      </c>
      <c r="E26">
        <v>81</v>
      </c>
      <c r="F26">
        <v>81</v>
      </c>
      <c r="G26">
        <v>81</v>
      </c>
      <c r="H26">
        <v>120</v>
      </c>
      <c r="I26" t="str">
        <f t="shared" si="0"/>
        <v>Match</v>
      </c>
      <c r="J26" t="str">
        <f t="shared" si="1"/>
        <v>Valid</v>
      </c>
      <c r="K26">
        <f t="shared" si="2"/>
        <v>0</v>
      </c>
      <c r="L26">
        <f t="shared" si="2"/>
        <v>0</v>
      </c>
      <c r="M26">
        <f t="shared" si="3"/>
        <v>0</v>
      </c>
      <c r="N26">
        <f t="shared" si="4"/>
        <v>9720</v>
      </c>
      <c r="O26">
        <f t="shared" si="5"/>
        <v>9720</v>
      </c>
      <c r="P26">
        <f t="shared" si="6"/>
        <v>0</v>
      </c>
      <c r="Q26" t="str">
        <f t="shared" si="7"/>
        <v>Low</v>
      </c>
    </row>
    <row r="27" spans="1:17" x14ac:dyDescent="0.35">
      <c r="A27" t="s">
        <v>79</v>
      </c>
      <c r="B27" t="s">
        <v>51</v>
      </c>
      <c r="C27" t="s">
        <v>27</v>
      </c>
      <c r="D27" t="s">
        <v>28</v>
      </c>
      <c r="E27">
        <v>123</v>
      </c>
      <c r="F27">
        <v>123</v>
      </c>
      <c r="G27">
        <v>123</v>
      </c>
      <c r="H27">
        <v>161</v>
      </c>
      <c r="I27" t="str">
        <f t="shared" si="0"/>
        <v>Match</v>
      </c>
      <c r="J27" t="str">
        <f t="shared" si="1"/>
        <v>Valid</v>
      </c>
      <c r="K27">
        <f t="shared" si="2"/>
        <v>0</v>
      </c>
      <c r="L27">
        <f t="shared" si="2"/>
        <v>0</v>
      </c>
      <c r="M27">
        <f t="shared" si="3"/>
        <v>0</v>
      </c>
      <c r="N27">
        <f t="shared" si="4"/>
        <v>19803</v>
      </c>
      <c r="O27">
        <f t="shared" si="5"/>
        <v>19803</v>
      </c>
      <c r="P27">
        <f t="shared" si="6"/>
        <v>0</v>
      </c>
      <c r="Q27" t="str">
        <f t="shared" si="7"/>
        <v>Low</v>
      </c>
    </row>
    <row r="28" spans="1:17" x14ac:dyDescent="0.35">
      <c r="A28" t="s">
        <v>80</v>
      </c>
      <c r="B28" t="s">
        <v>40</v>
      </c>
      <c r="C28" t="s">
        <v>48</v>
      </c>
      <c r="D28" t="s">
        <v>49</v>
      </c>
      <c r="E28">
        <v>65</v>
      </c>
      <c r="F28">
        <v>65</v>
      </c>
      <c r="G28">
        <v>65</v>
      </c>
      <c r="H28">
        <v>143</v>
      </c>
      <c r="I28" t="str">
        <f t="shared" si="0"/>
        <v>Match</v>
      </c>
      <c r="J28" t="str">
        <f t="shared" si="1"/>
        <v>Valid</v>
      </c>
      <c r="K28">
        <f t="shared" si="2"/>
        <v>0</v>
      </c>
      <c r="L28">
        <f t="shared" si="2"/>
        <v>0</v>
      </c>
      <c r="M28">
        <f t="shared" si="3"/>
        <v>0</v>
      </c>
      <c r="N28">
        <f t="shared" si="4"/>
        <v>9295</v>
      </c>
      <c r="O28">
        <f t="shared" si="5"/>
        <v>9295</v>
      </c>
      <c r="P28">
        <f t="shared" si="6"/>
        <v>0</v>
      </c>
      <c r="Q28" t="str">
        <f t="shared" si="7"/>
        <v>Low</v>
      </c>
    </row>
    <row r="29" spans="1:17" x14ac:dyDescent="0.35">
      <c r="A29" t="s">
        <v>81</v>
      </c>
      <c r="B29" t="s">
        <v>82</v>
      </c>
      <c r="C29" t="s">
        <v>83</v>
      </c>
      <c r="D29" t="s">
        <v>84</v>
      </c>
      <c r="E29">
        <v>169</v>
      </c>
      <c r="F29">
        <v>169</v>
      </c>
      <c r="G29">
        <v>169</v>
      </c>
      <c r="H29">
        <v>163</v>
      </c>
      <c r="I29" t="str">
        <f t="shared" si="0"/>
        <v>Match</v>
      </c>
      <c r="J29" t="str">
        <f t="shared" si="1"/>
        <v>Valid</v>
      </c>
      <c r="K29">
        <f t="shared" si="2"/>
        <v>0</v>
      </c>
      <c r="L29">
        <f t="shared" si="2"/>
        <v>0</v>
      </c>
      <c r="M29">
        <f t="shared" si="3"/>
        <v>0</v>
      </c>
      <c r="N29">
        <f t="shared" si="4"/>
        <v>27547</v>
      </c>
      <c r="O29">
        <f t="shared" si="5"/>
        <v>27547</v>
      </c>
      <c r="P29">
        <f t="shared" si="6"/>
        <v>0</v>
      </c>
      <c r="Q29" t="str">
        <f t="shared" si="7"/>
        <v>Low</v>
      </c>
    </row>
    <row r="30" spans="1:17" x14ac:dyDescent="0.35">
      <c r="A30" t="s">
        <v>85</v>
      </c>
      <c r="B30" t="s">
        <v>86</v>
      </c>
      <c r="C30" t="s">
        <v>41</v>
      </c>
      <c r="D30" t="s">
        <v>42</v>
      </c>
      <c r="E30">
        <v>180</v>
      </c>
      <c r="F30">
        <v>180</v>
      </c>
      <c r="G30">
        <v>180</v>
      </c>
      <c r="H30">
        <v>395</v>
      </c>
      <c r="I30" t="str">
        <f t="shared" si="0"/>
        <v>Match</v>
      </c>
      <c r="J30" t="str">
        <f t="shared" si="1"/>
        <v>Valid</v>
      </c>
      <c r="K30">
        <f t="shared" si="2"/>
        <v>0</v>
      </c>
      <c r="L30">
        <f t="shared" si="2"/>
        <v>0</v>
      </c>
      <c r="M30">
        <f t="shared" si="3"/>
        <v>0</v>
      </c>
      <c r="N30">
        <f t="shared" si="4"/>
        <v>71100</v>
      </c>
      <c r="O30">
        <f t="shared" si="5"/>
        <v>71100</v>
      </c>
      <c r="P30">
        <f t="shared" si="6"/>
        <v>0</v>
      </c>
      <c r="Q30" t="str">
        <f t="shared" si="7"/>
        <v>Low</v>
      </c>
    </row>
    <row r="31" spans="1:17" x14ac:dyDescent="0.35">
      <c r="A31" t="s">
        <v>87</v>
      </c>
      <c r="B31" t="s">
        <v>88</v>
      </c>
      <c r="C31" t="s">
        <v>45</v>
      </c>
      <c r="D31" t="s">
        <v>46</v>
      </c>
      <c r="E31">
        <v>123</v>
      </c>
      <c r="F31">
        <v>123</v>
      </c>
      <c r="G31">
        <v>123</v>
      </c>
      <c r="H31">
        <v>479</v>
      </c>
      <c r="I31" t="str">
        <f t="shared" si="0"/>
        <v>Match</v>
      </c>
      <c r="J31" t="str">
        <f t="shared" si="1"/>
        <v>Valid</v>
      </c>
      <c r="K31">
        <f t="shared" si="2"/>
        <v>0</v>
      </c>
      <c r="L31">
        <f t="shared" si="2"/>
        <v>0</v>
      </c>
      <c r="M31">
        <f t="shared" si="3"/>
        <v>0</v>
      </c>
      <c r="N31">
        <f t="shared" si="4"/>
        <v>58917</v>
      </c>
      <c r="O31">
        <f t="shared" si="5"/>
        <v>58917</v>
      </c>
      <c r="P31">
        <f t="shared" si="6"/>
        <v>0</v>
      </c>
      <c r="Q31" t="str">
        <f t="shared" si="7"/>
        <v>Low</v>
      </c>
    </row>
    <row r="32" spans="1:17" x14ac:dyDescent="0.35">
      <c r="A32" t="s">
        <v>89</v>
      </c>
      <c r="B32" t="s">
        <v>76</v>
      </c>
      <c r="C32" t="s">
        <v>19</v>
      </c>
      <c r="D32" t="s">
        <v>20</v>
      </c>
      <c r="E32">
        <v>189</v>
      </c>
      <c r="F32">
        <v>189</v>
      </c>
      <c r="G32">
        <v>189</v>
      </c>
      <c r="H32">
        <v>455</v>
      </c>
      <c r="I32" t="str">
        <f t="shared" si="0"/>
        <v>Match</v>
      </c>
      <c r="J32" t="str">
        <f t="shared" si="1"/>
        <v>Valid</v>
      </c>
      <c r="K32">
        <f t="shared" si="2"/>
        <v>0</v>
      </c>
      <c r="L32">
        <f t="shared" si="2"/>
        <v>0</v>
      </c>
      <c r="M32">
        <f t="shared" si="3"/>
        <v>0</v>
      </c>
      <c r="N32">
        <f t="shared" si="4"/>
        <v>85995</v>
      </c>
      <c r="O32">
        <f t="shared" si="5"/>
        <v>85995</v>
      </c>
      <c r="P32">
        <f t="shared" si="6"/>
        <v>0</v>
      </c>
      <c r="Q32" t="str">
        <f t="shared" si="7"/>
        <v>Low</v>
      </c>
    </row>
    <row r="33" spans="1:17" x14ac:dyDescent="0.35">
      <c r="A33" t="s">
        <v>90</v>
      </c>
      <c r="B33" t="s">
        <v>44</v>
      </c>
      <c r="C33" t="s">
        <v>60</v>
      </c>
      <c r="D33" t="s">
        <v>61</v>
      </c>
      <c r="E33">
        <v>195</v>
      </c>
      <c r="F33">
        <v>195</v>
      </c>
      <c r="G33">
        <v>195</v>
      </c>
      <c r="H33">
        <v>380</v>
      </c>
      <c r="I33" t="str">
        <f t="shared" si="0"/>
        <v>Match</v>
      </c>
      <c r="J33" t="str">
        <f t="shared" si="1"/>
        <v>Valid</v>
      </c>
      <c r="K33">
        <f t="shared" si="2"/>
        <v>0</v>
      </c>
      <c r="L33">
        <f t="shared" si="2"/>
        <v>0</v>
      </c>
      <c r="M33">
        <f t="shared" si="3"/>
        <v>0</v>
      </c>
      <c r="N33">
        <f t="shared" si="4"/>
        <v>74100</v>
      </c>
      <c r="O33">
        <f t="shared" si="5"/>
        <v>74100</v>
      </c>
      <c r="P33">
        <f t="shared" si="6"/>
        <v>0</v>
      </c>
      <c r="Q33" t="str">
        <f t="shared" si="7"/>
        <v>Low</v>
      </c>
    </row>
    <row r="34" spans="1:17" x14ac:dyDescent="0.35">
      <c r="A34" t="s">
        <v>91</v>
      </c>
      <c r="B34" t="s">
        <v>32</v>
      </c>
      <c r="C34" t="s">
        <v>48</v>
      </c>
      <c r="D34" t="s">
        <v>49</v>
      </c>
      <c r="E34">
        <v>143</v>
      </c>
      <c r="F34">
        <v>143</v>
      </c>
      <c r="G34">
        <v>143</v>
      </c>
      <c r="H34">
        <v>413</v>
      </c>
      <c r="I34" t="str">
        <f t="shared" si="0"/>
        <v>Match</v>
      </c>
      <c r="J34" t="str">
        <f t="shared" si="1"/>
        <v>Valid</v>
      </c>
      <c r="K34">
        <f t="shared" si="2"/>
        <v>0</v>
      </c>
      <c r="L34">
        <f t="shared" si="2"/>
        <v>0</v>
      </c>
      <c r="M34">
        <f t="shared" si="3"/>
        <v>0</v>
      </c>
      <c r="N34">
        <f t="shared" si="4"/>
        <v>59059</v>
      </c>
      <c r="O34">
        <f t="shared" si="5"/>
        <v>59059</v>
      </c>
      <c r="P34">
        <f t="shared" si="6"/>
        <v>0</v>
      </c>
      <c r="Q34" t="str">
        <f t="shared" si="7"/>
        <v>Low</v>
      </c>
    </row>
    <row r="35" spans="1:17" x14ac:dyDescent="0.35">
      <c r="A35" t="s">
        <v>92</v>
      </c>
      <c r="B35" t="s">
        <v>93</v>
      </c>
      <c r="C35" t="s">
        <v>41</v>
      </c>
      <c r="D35" t="s">
        <v>42</v>
      </c>
      <c r="E35">
        <v>172</v>
      </c>
      <c r="F35">
        <v>172</v>
      </c>
      <c r="G35">
        <v>172</v>
      </c>
      <c r="H35">
        <v>224</v>
      </c>
      <c r="I35" t="str">
        <f t="shared" si="0"/>
        <v>Match</v>
      </c>
      <c r="J35" t="str">
        <f t="shared" si="1"/>
        <v>Valid</v>
      </c>
      <c r="K35">
        <f t="shared" si="2"/>
        <v>0</v>
      </c>
      <c r="L35">
        <f t="shared" si="2"/>
        <v>0</v>
      </c>
      <c r="M35">
        <f t="shared" si="3"/>
        <v>0</v>
      </c>
      <c r="N35">
        <f t="shared" si="4"/>
        <v>38528</v>
      </c>
      <c r="O35">
        <f t="shared" si="5"/>
        <v>38528</v>
      </c>
      <c r="P35">
        <f t="shared" si="6"/>
        <v>0</v>
      </c>
      <c r="Q35" t="str">
        <f t="shared" si="7"/>
        <v>Low</v>
      </c>
    </row>
    <row r="36" spans="1:17" x14ac:dyDescent="0.35">
      <c r="A36" t="s">
        <v>94</v>
      </c>
      <c r="B36" t="s">
        <v>67</v>
      </c>
      <c r="C36" t="s">
        <v>48</v>
      </c>
      <c r="D36" t="s">
        <v>49</v>
      </c>
      <c r="E36">
        <v>135</v>
      </c>
      <c r="F36">
        <v>135</v>
      </c>
      <c r="G36">
        <v>135</v>
      </c>
      <c r="H36">
        <v>296</v>
      </c>
      <c r="I36" t="str">
        <f t="shared" si="0"/>
        <v>Match</v>
      </c>
      <c r="J36" t="str">
        <f t="shared" si="1"/>
        <v>Valid</v>
      </c>
      <c r="K36">
        <f t="shared" si="2"/>
        <v>0</v>
      </c>
      <c r="L36">
        <f t="shared" si="2"/>
        <v>0</v>
      </c>
      <c r="M36">
        <f t="shared" si="3"/>
        <v>0</v>
      </c>
      <c r="N36">
        <f t="shared" si="4"/>
        <v>39960</v>
      </c>
      <c r="O36">
        <f t="shared" si="5"/>
        <v>39960</v>
      </c>
      <c r="P36">
        <f t="shared" si="6"/>
        <v>0</v>
      </c>
      <c r="Q36" t="str">
        <f t="shared" si="7"/>
        <v>Low</v>
      </c>
    </row>
    <row r="37" spans="1:17" x14ac:dyDescent="0.35">
      <c r="A37" t="s">
        <v>95</v>
      </c>
      <c r="B37" t="s">
        <v>51</v>
      </c>
      <c r="C37" t="s">
        <v>27</v>
      </c>
      <c r="D37" t="s">
        <v>28</v>
      </c>
      <c r="E37">
        <v>199</v>
      </c>
      <c r="F37">
        <v>199</v>
      </c>
      <c r="G37">
        <v>199</v>
      </c>
      <c r="H37">
        <v>222</v>
      </c>
      <c r="I37" t="str">
        <f t="shared" si="0"/>
        <v>Match</v>
      </c>
      <c r="J37" t="str">
        <f t="shared" si="1"/>
        <v>Valid</v>
      </c>
      <c r="K37">
        <f t="shared" si="2"/>
        <v>0</v>
      </c>
      <c r="L37">
        <f t="shared" si="2"/>
        <v>0</v>
      </c>
      <c r="M37">
        <f t="shared" si="3"/>
        <v>0</v>
      </c>
      <c r="N37">
        <f t="shared" si="4"/>
        <v>44178</v>
      </c>
      <c r="O37">
        <f t="shared" si="5"/>
        <v>44178</v>
      </c>
      <c r="P37">
        <f t="shared" si="6"/>
        <v>0</v>
      </c>
      <c r="Q37" t="str">
        <f t="shared" si="7"/>
        <v>Low</v>
      </c>
    </row>
    <row r="38" spans="1:17" x14ac:dyDescent="0.35">
      <c r="A38" t="s">
        <v>96</v>
      </c>
      <c r="B38" t="s">
        <v>40</v>
      </c>
      <c r="C38" t="s">
        <v>19</v>
      </c>
      <c r="D38" t="s">
        <v>20</v>
      </c>
      <c r="E38">
        <v>132</v>
      </c>
      <c r="F38">
        <v>132</v>
      </c>
      <c r="G38">
        <v>132</v>
      </c>
      <c r="H38">
        <v>245</v>
      </c>
      <c r="I38" t="str">
        <f t="shared" si="0"/>
        <v>Match</v>
      </c>
      <c r="J38" t="str">
        <f t="shared" si="1"/>
        <v>Valid</v>
      </c>
      <c r="K38">
        <f t="shared" si="2"/>
        <v>0</v>
      </c>
      <c r="L38">
        <f t="shared" si="2"/>
        <v>0</v>
      </c>
      <c r="M38">
        <f t="shared" si="3"/>
        <v>0</v>
      </c>
      <c r="N38">
        <f t="shared" si="4"/>
        <v>32340</v>
      </c>
      <c r="O38">
        <f t="shared" si="5"/>
        <v>32340</v>
      </c>
      <c r="P38">
        <f t="shared" si="6"/>
        <v>0</v>
      </c>
      <c r="Q38" t="str">
        <f t="shared" si="7"/>
        <v>Low</v>
      </c>
    </row>
    <row r="39" spans="1:17" x14ac:dyDescent="0.35">
      <c r="A39" t="s">
        <v>97</v>
      </c>
      <c r="B39" t="s">
        <v>51</v>
      </c>
      <c r="C39" t="s">
        <v>33</v>
      </c>
      <c r="D39" t="s">
        <v>34</v>
      </c>
      <c r="E39">
        <v>105</v>
      </c>
      <c r="F39">
        <v>105</v>
      </c>
      <c r="G39">
        <v>105</v>
      </c>
      <c r="H39">
        <v>382</v>
      </c>
      <c r="I39" t="str">
        <f t="shared" si="0"/>
        <v>Match</v>
      </c>
      <c r="J39" t="str">
        <f t="shared" si="1"/>
        <v>Valid</v>
      </c>
      <c r="K39">
        <f t="shared" si="2"/>
        <v>0</v>
      </c>
      <c r="L39">
        <f t="shared" si="2"/>
        <v>0</v>
      </c>
      <c r="M39">
        <f t="shared" si="3"/>
        <v>0</v>
      </c>
      <c r="N39">
        <f t="shared" si="4"/>
        <v>40110</v>
      </c>
      <c r="O39">
        <f t="shared" si="5"/>
        <v>40110</v>
      </c>
      <c r="P39">
        <f t="shared" si="6"/>
        <v>0</v>
      </c>
      <c r="Q39" t="str">
        <f t="shared" si="7"/>
        <v>Low</v>
      </c>
    </row>
    <row r="40" spans="1:17" x14ac:dyDescent="0.35">
      <c r="A40" t="s">
        <v>98</v>
      </c>
      <c r="B40" t="s">
        <v>63</v>
      </c>
      <c r="C40" t="s">
        <v>19</v>
      </c>
      <c r="D40" t="s">
        <v>20</v>
      </c>
      <c r="E40">
        <v>67</v>
      </c>
      <c r="F40">
        <v>51</v>
      </c>
      <c r="G40">
        <v>51</v>
      </c>
      <c r="H40">
        <v>364</v>
      </c>
      <c r="I40" t="str">
        <f t="shared" si="0"/>
        <v>PO-GRN Mismatch</v>
      </c>
      <c r="J40" t="str">
        <f t="shared" si="1"/>
        <v>Exception</v>
      </c>
      <c r="K40">
        <f t="shared" si="2"/>
        <v>16</v>
      </c>
      <c r="L40">
        <f t="shared" si="2"/>
        <v>0</v>
      </c>
      <c r="M40">
        <f t="shared" si="3"/>
        <v>16</v>
      </c>
      <c r="N40">
        <f t="shared" si="4"/>
        <v>24388</v>
      </c>
      <c r="O40">
        <f t="shared" si="5"/>
        <v>18564</v>
      </c>
      <c r="P40">
        <f t="shared" si="6"/>
        <v>5824</v>
      </c>
      <c r="Q40" t="str">
        <f t="shared" si="7"/>
        <v>Medium</v>
      </c>
    </row>
    <row r="41" spans="1:17" x14ac:dyDescent="0.35">
      <c r="A41" t="s">
        <v>99</v>
      </c>
      <c r="B41" t="s">
        <v>72</v>
      </c>
      <c r="C41" t="s">
        <v>45</v>
      </c>
      <c r="D41" t="s">
        <v>46</v>
      </c>
      <c r="E41">
        <v>149</v>
      </c>
      <c r="F41">
        <v>149</v>
      </c>
      <c r="G41">
        <v>133</v>
      </c>
      <c r="H41">
        <v>366</v>
      </c>
      <c r="I41" t="str">
        <f t="shared" si="0"/>
        <v>GRN-Invoice Mismatch</v>
      </c>
      <c r="J41" t="str">
        <f t="shared" si="1"/>
        <v>Exception</v>
      </c>
      <c r="K41">
        <f t="shared" si="2"/>
        <v>0</v>
      </c>
      <c r="L41">
        <f t="shared" si="2"/>
        <v>16</v>
      </c>
      <c r="M41">
        <f t="shared" si="3"/>
        <v>16</v>
      </c>
      <c r="N41">
        <f t="shared" si="4"/>
        <v>54534</v>
      </c>
      <c r="O41">
        <f t="shared" si="5"/>
        <v>48678</v>
      </c>
      <c r="P41">
        <f t="shared" si="6"/>
        <v>5856</v>
      </c>
      <c r="Q41" t="str">
        <f t="shared" si="7"/>
        <v>Medium</v>
      </c>
    </row>
    <row r="42" spans="1:17" x14ac:dyDescent="0.35">
      <c r="A42" t="s">
        <v>100</v>
      </c>
      <c r="B42" t="s">
        <v>22</v>
      </c>
      <c r="C42" t="s">
        <v>27</v>
      </c>
      <c r="D42" t="s">
        <v>28</v>
      </c>
      <c r="E42">
        <v>107</v>
      </c>
      <c r="F42">
        <v>98</v>
      </c>
      <c r="G42">
        <v>87</v>
      </c>
      <c r="H42">
        <v>171</v>
      </c>
      <c r="I42" t="str">
        <f t="shared" si="0"/>
        <v>All Three Mismatch</v>
      </c>
      <c r="J42" t="str">
        <f t="shared" si="1"/>
        <v>Exception</v>
      </c>
      <c r="K42">
        <f t="shared" si="2"/>
        <v>9</v>
      </c>
      <c r="L42">
        <f t="shared" si="2"/>
        <v>11</v>
      </c>
      <c r="M42">
        <f t="shared" si="3"/>
        <v>20</v>
      </c>
      <c r="N42">
        <f t="shared" si="4"/>
        <v>18297</v>
      </c>
      <c r="O42">
        <f t="shared" si="5"/>
        <v>14877</v>
      </c>
      <c r="P42">
        <f t="shared" si="6"/>
        <v>3420</v>
      </c>
      <c r="Q42" t="str">
        <f t="shared" si="7"/>
        <v>High</v>
      </c>
    </row>
    <row r="43" spans="1:17" x14ac:dyDescent="0.35">
      <c r="A43" t="s">
        <v>101</v>
      </c>
      <c r="B43" t="s">
        <v>72</v>
      </c>
      <c r="C43" t="s">
        <v>48</v>
      </c>
      <c r="D43" t="s">
        <v>49</v>
      </c>
      <c r="E43">
        <v>101</v>
      </c>
      <c r="F43">
        <v>88</v>
      </c>
      <c r="G43">
        <v>88</v>
      </c>
      <c r="H43">
        <v>478</v>
      </c>
      <c r="I43" t="str">
        <f t="shared" si="0"/>
        <v>PO-GRN Mismatch</v>
      </c>
      <c r="J43" t="str">
        <f t="shared" si="1"/>
        <v>Exception</v>
      </c>
      <c r="K43">
        <f t="shared" si="2"/>
        <v>13</v>
      </c>
      <c r="L43">
        <f t="shared" si="2"/>
        <v>0</v>
      </c>
      <c r="M43">
        <f t="shared" si="3"/>
        <v>13</v>
      </c>
      <c r="N43">
        <f t="shared" si="4"/>
        <v>48278</v>
      </c>
      <c r="O43">
        <f t="shared" si="5"/>
        <v>42064</v>
      </c>
      <c r="P43">
        <f t="shared" si="6"/>
        <v>6214</v>
      </c>
      <c r="Q43" t="str">
        <f t="shared" si="7"/>
        <v>Medium</v>
      </c>
    </row>
    <row r="44" spans="1:17" x14ac:dyDescent="0.35">
      <c r="A44" t="s">
        <v>102</v>
      </c>
      <c r="B44" t="s">
        <v>18</v>
      </c>
      <c r="C44" t="s">
        <v>69</v>
      </c>
      <c r="D44" t="s">
        <v>70</v>
      </c>
      <c r="E44">
        <v>171</v>
      </c>
      <c r="F44">
        <v>171</v>
      </c>
      <c r="G44">
        <v>171</v>
      </c>
      <c r="H44">
        <v>311</v>
      </c>
      <c r="I44" t="str">
        <f t="shared" si="0"/>
        <v>Match</v>
      </c>
      <c r="J44" t="str">
        <f t="shared" si="1"/>
        <v>Valid</v>
      </c>
      <c r="K44">
        <f t="shared" si="2"/>
        <v>0</v>
      </c>
      <c r="L44">
        <f t="shared" si="2"/>
        <v>0</v>
      </c>
      <c r="M44">
        <f t="shared" si="3"/>
        <v>0</v>
      </c>
      <c r="N44">
        <f t="shared" si="4"/>
        <v>53181</v>
      </c>
      <c r="O44">
        <f t="shared" si="5"/>
        <v>53181</v>
      </c>
      <c r="P44">
        <f t="shared" si="6"/>
        <v>0</v>
      </c>
      <c r="Q44" t="str">
        <f t="shared" si="7"/>
        <v>Low</v>
      </c>
    </row>
    <row r="45" spans="1:17" x14ac:dyDescent="0.35">
      <c r="A45" t="s">
        <v>103</v>
      </c>
      <c r="B45" t="s">
        <v>53</v>
      </c>
      <c r="C45" t="s">
        <v>48</v>
      </c>
      <c r="D45" t="s">
        <v>49</v>
      </c>
      <c r="E45">
        <v>76</v>
      </c>
      <c r="F45">
        <v>76</v>
      </c>
      <c r="G45">
        <v>76</v>
      </c>
      <c r="H45">
        <v>160</v>
      </c>
      <c r="I45" t="str">
        <f t="shared" si="0"/>
        <v>Match</v>
      </c>
      <c r="J45" t="str">
        <f t="shared" si="1"/>
        <v>Valid</v>
      </c>
      <c r="K45">
        <f t="shared" si="2"/>
        <v>0</v>
      </c>
      <c r="L45">
        <f t="shared" si="2"/>
        <v>0</v>
      </c>
      <c r="M45">
        <f t="shared" si="3"/>
        <v>0</v>
      </c>
      <c r="N45">
        <f t="shared" si="4"/>
        <v>12160</v>
      </c>
      <c r="O45">
        <f t="shared" si="5"/>
        <v>12160</v>
      </c>
      <c r="P45">
        <f t="shared" si="6"/>
        <v>0</v>
      </c>
      <c r="Q45" t="str">
        <f t="shared" si="7"/>
        <v>Low</v>
      </c>
    </row>
    <row r="46" spans="1:17" x14ac:dyDescent="0.35">
      <c r="A46" t="s">
        <v>104</v>
      </c>
      <c r="B46" t="s">
        <v>18</v>
      </c>
      <c r="C46" t="s">
        <v>23</v>
      </c>
      <c r="D46" t="s">
        <v>24</v>
      </c>
      <c r="E46">
        <v>177</v>
      </c>
      <c r="F46">
        <v>177</v>
      </c>
      <c r="G46">
        <v>177</v>
      </c>
      <c r="H46">
        <v>313</v>
      </c>
      <c r="I46" t="str">
        <f t="shared" si="0"/>
        <v>Match</v>
      </c>
      <c r="J46" t="str">
        <f t="shared" si="1"/>
        <v>Valid</v>
      </c>
      <c r="K46">
        <f t="shared" si="2"/>
        <v>0</v>
      </c>
      <c r="L46">
        <f t="shared" si="2"/>
        <v>0</v>
      </c>
      <c r="M46">
        <f t="shared" si="3"/>
        <v>0</v>
      </c>
      <c r="N46">
        <f t="shared" si="4"/>
        <v>55401</v>
      </c>
      <c r="O46">
        <f t="shared" si="5"/>
        <v>55401</v>
      </c>
      <c r="P46">
        <f t="shared" si="6"/>
        <v>0</v>
      </c>
      <c r="Q46" t="str">
        <f t="shared" si="7"/>
        <v>Low</v>
      </c>
    </row>
    <row r="47" spans="1:17" x14ac:dyDescent="0.35">
      <c r="A47" t="s">
        <v>105</v>
      </c>
      <c r="B47" t="s">
        <v>82</v>
      </c>
      <c r="C47" t="s">
        <v>60</v>
      </c>
      <c r="D47" t="s">
        <v>61</v>
      </c>
      <c r="E47">
        <v>121</v>
      </c>
      <c r="F47">
        <v>121</v>
      </c>
      <c r="G47">
        <v>113</v>
      </c>
      <c r="H47">
        <v>454</v>
      </c>
      <c r="I47" t="str">
        <f t="shared" si="0"/>
        <v>GRN-Invoice Mismatch</v>
      </c>
      <c r="J47" t="str">
        <f t="shared" si="1"/>
        <v>Exception</v>
      </c>
      <c r="K47">
        <f t="shared" si="2"/>
        <v>0</v>
      </c>
      <c r="L47">
        <f t="shared" si="2"/>
        <v>8</v>
      </c>
      <c r="M47">
        <f t="shared" si="3"/>
        <v>8</v>
      </c>
      <c r="N47">
        <f t="shared" si="4"/>
        <v>54934</v>
      </c>
      <c r="O47">
        <f t="shared" si="5"/>
        <v>51302</v>
      </c>
      <c r="P47">
        <f t="shared" si="6"/>
        <v>3632</v>
      </c>
      <c r="Q47" t="str">
        <f t="shared" si="7"/>
        <v>Medium</v>
      </c>
    </row>
    <row r="48" spans="1:17" x14ac:dyDescent="0.35">
      <c r="A48" t="s">
        <v>106</v>
      </c>
      <c r="B48" t="s">
        <v>32</v>
      </c>
      <c r="C48" t="s">
        <v>27</v>
      </c>
      <c r="D48" t="s">
        <v>28</v>
      </c>
      <c r="E48">
        <v>167</v>
      </c>
      <c r="F48">
        <v>167</v>
      </c>
      <c r="G48">
        <v>167</v>
      </c>
      <c r="H48">
        <v>280</v>
      </c>
      <c r="I48" t="str">
        <f t="shared" si="0"/>
        <v>Match</v>
      </c>
      <c r="J48" t="str">
        <f t="shared" si="1"/>
        <v>Valid</v>
      </c>
      <c r="K48">
        <f t="shared" si="2"/>
        <v>0</v>
      </c>
      <c r="L48">
        <f t="shared" si="2"/>
        <v>0</v>
      </c>
      <c r="M48">
        <f t="shared" si="3"/>
        <v>0</v>
      </c>
      <c r="N48">
        <f t="shared" si="4"/>
        <v>46760</v>
      </c>
      <c r="O48">
        <f t="shared" si="5"/>
        <v>46760</v>
      </c>
      <c r="P48">
        <f t="shared" si="6"/>
        <v>0</v>
      </c>
      <c r="Q48" t="str">
        <f t="shared" si="7"/>
        <v>Low</v>
      </c>
    </row>
    <row r="49" spans="1:17" x14ac:dyDescent="0.35">
      <c r="A49" t="s">
        <v>107</v>
      </c>
      <c r="B49" t="s">
        <v>55</v>
      </c>
      <c r="C49" t="s">
        <v>23</v>
      </c>
      <c r="D49" t="s">
        <v>24</v>
      </c>
      <c r="E49">
        <v>150</v>
      </c>
      <c r="F49">
        <v>150</v>
      </c>
      <c r="G49">
        <v>150</v>
      </c>
      <c r="H49">
        <v>431</v>
      </c>
      <c r="I49" t="str">
        <f t="shared" si="0"/>
        <v>Match</v>
      </c>
      <c r="J49" t="str">
        <f t="shared" si="1"/>
        <v>Valid</v>
      </c>
      <c r="K49">
        <f t="shared" si="2"/>
        <v>0</v>
      </c>
      <c r="L49">
        <f t="shared" si="2"/>
        <v>0</v>
      </c>
      <c r="M49">
        <f t="shared" si="3"/>
        <v>0</v>
      </c>
      <c r="N49">
        <f t="shared" si="4"/>
        <v>64650</v>
      </c>
      <c r="O49">
        <f t="shared" si="5"/>
        <v>64650</v>
      </c>
      <c r="P49">
        <f t="shared" si="6"/>
        <v>0</v>
      </c>
      <c r="Q49" t="str">
        <f t="shared" si="7"/>
        <v>Low</v>
      </c>
    </row>
    <row r="50" spans="1:17" x14ac:dyDescent="0.35">
      <c r="A50" t="s">
        <v>108</v>
      </c>
      <c r="B50" t="s">
        <v>109</v>
      </c>
      <c r="C50" t="s">
        <v>45</v>
      </c>
      <c r="D50" t="s">
        <v>46</v>
      </c>
      <c r="E50">
        <v>132</v>
      </c>
      <c r="F50">
        <v>132</v>
      </c>
      <c r="G50">
        <v>132</v>
      </c>
      <c r="H50">
        <v>294</v>
      </c>
      <c r="I50" t="str">
        <f t="shared" si="0"/>
        <v>Match</v>
      </c>
      <c r="J50" t="str">
        <f t="shared" si="1"/>
        <v>Valid</v>
      </c>
      <c r="K50">
        <f t="shared" si="2"/>
        <v>0</v>
      </c>
      <c r="L50">
        <f t="shared" si="2"/>
        <v>0</v>
      </c>
      <c r="M50">
        <f t="shared" si="3"/>
        <v>0</v>
      </c>
      <c r="N50">
        <f t="shared" si="4"/>
        <v>38808</v>
      </c>
      <c r="O50">
        <f t="shared" si="5"/>
        <v>38808</v>
      </c>
      <c r="P50">
        <f t="shared" si="6"/>
        <v>0</v>
      </c>
      <c r="Q50" t="str">
        <f t="shared" si="7"/>
        <v>Low</v>
      </c>
    </row>
    <row r="51" spans="1:17" x14ac:dyDescent="0.35">
      <c r="A51" t="s">
        <v>110</v>
      </c>
      <c r="B51" t="s">
        <v>32</v>
      </c>
      <c r="C51" t="s">
        <v>48</v>
      </c>
      <c r="D51" t="s">
        <v>49</v>
      </c>
      <c r="E51">
        <v>163</v>
      </c>
      <c r="F51">
        <v>163</v>
      </c>
      <c r="G51">
        <v>163</v>
      </c>
      <c r="H51">
        <v>174</v>
      </c>
      <c r="I51" t="str">
        <f t="shared" si="0"/>
        <v>Match</v>
      </c>
      <c r="J51" t="str">
        <f t="shared" si="1"/>
        <v>Valid</v>
      </c>
      <c r="K51">
        <f t="shared" si="2"/>
        <v>0</v>
      </c>
      <c r="L51">
        <f t="shared" si="2"/>
        <v>0</v>
      </c>
      <c r="M51">
        <f t="shared" si="3"/>
        <v>0</v>
      </c>
      <c r="N51">
        <f t="shared" si="4"/>
        <v>28362</v>
      </c>
      <c r="O51">
        <f t="shared" si="5"/>
        <v>28362</v>
      </c>
      <c r="P51">
        <f t="shared" si="6"/>
        <v>0</v>
      </c>
      <c r="Q51" t="str">
        <f t="shared" si="7"/>
        <v>Low</v>
      </c>
    </row>
    <row r="52" spans="1:17" x14ac:dyDescent="0.35">
      <c r="A52" t="s">
        <v>111</v>
      </c>
      <c r="B52" t="s">
        <v>30</v>
      </c>
      <c r="C52" t="s">
        <v>23</v>
      </c>
      <c r="D52" t="s">
        <v>24</v>
      </c>
      <c r="E52">
        <v>161</v>
      </c>
      <c r="F52">
        <v>161</v>
      </c>
      <c r="G52">
        <v>161</v>
      </c>
      <c r="H52">
        <v>145</v>
      </c>
      <c r="I52" t="str">
        <f t="shared" si="0"/>
        <v>Match</v>
      </c>
      <c r="J52" t="str">
        <f t="shared" si="1"/>
        <v>Valid</v>
      </c>
      <c r="K52">
        <f t="shared" si="2"/>
        <v>0</v>
      </c>
      <c r="L52">
        <f t="shared" si="2"/>
        <v>0</v>
      </c>
      <c r="M52">
        <f t="shared" si="3"/>
        <v>0</v>
      </c>
      <c r="N52">
        <f t="shared" si="4"/>
        <v>23345</v>
      </c>
      <c r="O52">
        <f t="shared" si="5"/>
        <v>23345</v>
      </c>
      <c r="P52">
        <f t="shared" si="6"/>
        <v>0</v>
      </c>
      <c r="Q52" t="str">
        <f t="shared" si="7"/>
        <v>Low</v>
      </c>
    </row>
    <row r="53" spans="1:17" x14ac:dyDescent="0.35">
      <c r="A53" t="s">
        <v>112</v>
      </c>
      <c r="B53" t="s">
        <v>30</v>
      </c>
      <c r="C53" t="s">
        <v>23</v>
      </c>
      <c r="D53" t="s">
        <v>24</v>
      </c>
      <c r="E53">
        <v>134</v>
      </c>
      <c r="F53">
        <v>134</v>
      </c>
      <c r="G53">
        <v>134</v>
      </c>
      <c r="H53">
        <v>266</v>
      </c>
      <c r="I53" t="str">
        <f t="shared" si="0"/>
        <v>Match</v>
      </c>
      <c r="J53" t="str">
        <f t="shared" si="1"/>
        <v>Valid</v>
      </c>
      <c r="K53">
        <f t="shared" si="2"/>
        <v>0</v>
      </c>
      <c r="L53">
        <f t="shared" si="2"/>
        <v>0</v>
      </c>
      <c r="M53">
        <f t="shared" si="3"/>
        <v>0</v>
      </c>
      <c r="N53">
        <f t="shared" si="4"/>
        <v>35644</v>
      </c>
      <c r="O53">
        <f t="shared" si="5"/>
        <v>35644</v>
      </c>
      <c r="P53">
        <f t="shared" si="6"/>
        <v>0</v>
      </c>
      <c r="Q53" t="str">
        <f t="shared" si="7"/>
        <v>Low</v>
      </c>
    </row>
    <row r="54" spans="1:17" x14ac:dyDescent="0.35">
      <c r="A54" t="s">
        <v>113</v>
      </c>
      <c r="B54" t="s">
        <v>40</v>
      </c>
      <c r="C54" t="s">
        <v>33</v>
      </c>
      <c r="D54" t="s">
        <v>34</v>
      </c>
      <c r="E54">
        <v>102</v>
      </c>
      <c r="F54">
        <v>97</v>
      </c>
      <c r="G54">
        <v>92</v>
      </c>
      <c r="H54">
        <v>389</v>
      </c>
      <c r="I54" t="str">
        <f>IF(AND(E54=F54,F54=G54),"Match",
IF(AND(E54&lt;&gt;F54,F54=G54),"PO-GRN Mismatch",
IF(AND(E54=F54,F54&lt;&gt;G54),"GRN-Invoice Mismatch",
"All Three Mismatch")))</f>
        <v>All Three Mismatch</v>
      </c>
      <c r="J54" t="str">
        <f t="shared" si="1"/>
        <v>Exception</v>
      </c>
      <c r="K54">
        <f t="shared" si="2"/>
        <v>5</v>
      </c>
      <c r="L54">
        <f t="shared" si="2"/>
        <v>5</v>
      </c>
      <c r="M54">
        <f t="shared" si="3"/>
        <v>10</v>
      </c>
      <c r="N54">
        <f t="shared" si="4"/>
        <v>39678</v>
      </c>
      <c r="O54">
        <f t="shared" si="5"/>
        <v>35788</v>
      </c>
      <c r="P54">
        <f t="shared" si="6"/>
        <v>3890</v>
      </c>
      <c r="Q54" t="str">
        <f t="shared" si="7"/>
        <v>High</v>
      </c>
    </row>
    <row r="55" spans="1:17" x14ac:dyDescent="0.35">
      <c r="A55" t="s">
        <v>114</v>
      </c>
      <c r="B55" t="s">
        <v>32</v>
      </c>
      <c r="C55" t="s">
        <v>48</v>
      </c>
      <c r="D55" t="s">
        <v>49</v>
      </c>
      <c r="E55">
        <v>177</v>
      </c>
      <c r="F55">
        <v>177</v>
      </c>
      <c r="G55">
        <v>177</v>
      </c>
      <c r="H55">
        <v>375</v>
      </c>
      <c r="I55" t="str">
        <f t="shared" si="0"/>
        <v>Match</v>
      </c>
      <c r="J55" t="str">
        <f t="shared" si="1"/>
        <v>Valid</v>
      </c>
      <c r="K55">
        <f t="shared" si="2"/>
        <v>0</v>
      </c>
      <c r="L55">
        <f t="shared" si="2"/>
        <v>0</v>
      </c>
      <c r="M55">
        <f t="shared" si="3"/>
        <v>0</v>
      </c>
      <c r="N55">
        <f t="shared" si="4"/>
        <v>66375</v>
      </c>
      <c r="O55">
        <f t="shared" si="5"/>
        <v>66375</v>
      </c>
      <c r="P55">
        <f t="shared" si="6"/>
        <v>0</v>
      </c>
      <c r="Q55" t="str">
        <f t="shared" si="7"/>
        <v>Low</v>
      </c>
    </row>
    <row r="56" spans="1:17" x14ac:dyDescent="0.35">
      <c r="A56" t="s">
        <v>115</v>
      </c>
      <c r="B56" t="s">
        <v>86</v>
      </c>
      <c r="C56" t="s">
        <v>48</v>
      </c>
      <c r="D56" t="s">
        <v>49</v>
      </c>
      <c r="E56">
        <v>161</v>
      </c>
      <c r="F56">
        <v>161</v>
      </c>
      <c r="G56">
        <v>161</v>
      </c>
      <c r="H56">
        <v>299</v>
      </c>
      <c r="I56" t="str">
        <f t="shared" si="0"/>
        <v>Match</v>
      </c>
      <c r="J56" t="str">
        <f t="shared" si="1"/>
        <v>Valid</v>
      </c>
      <c r="K56">
        <f t="shared" si="2"/>
        <v>0</v>
      </c>
      <c r="L56">
        <f t="shared" si="2"/>
        <v>0</v>
      </c>
      <c r="M56">
        <f t="shared" si="3"/>
        <v>0</v>
      </c>
      <c r="N56">
        <f t="shared" si="4"/>
        <v>48139</v>
      </c>
      <c r="O56">
        <f t="shared" si="5"/>
        <v>48139</v>
      </c>
      <c r="P56">
        <f t="shared" si="6"/>
        <v>0</v>
      </c>
      <c r="Q56" t="str">
        <f t="shared" si="7"/>
        <v>Low</v>
      </c>
    </row>
    <row r="57" spans="1:17" x14ac:dyDescent="0.35">
      <c r="A57" t="s">
        <v>116</v>
      </c>
      <c r="B57" t="s">
        <v>22</v>
      </c>
      <c r="C57" t="s">
        <v>23</v>
      </c>
      <c r="D57" t="s">
        <v>24</v>
      </c>
      <c r="E57">
        <v>168</v>
      </c>
      <c r="F57">
        <v>168</v>
      </c>
      <c r="G57">
        <v>168</v>
      </c>
      <c r="H57">
        <v>331</v>
      </c>
      <c r="I57" t="str">
        <f t="shared" si="0"/>
        <v>Match</v>
      </c>
      <c r="J57" t="str">
        <f t="shared" si="1"/>
        <v>Valid</v>
      </c>
      <c r="K57">
        <f t="shared" si="2"/>
        <v>0</v>
      </c>
      <c r="L57">
        <f t="shared" si="2"/>
        <v>0</v>
      </c>
      <c r="M57">
        <f t="shared" si="3"/>
        <v>0</v>
      </c>
      <c r="N57">
        <f t="shared" si="4"/>
        <v>55608</v>
      </c>
      <c r="O57">
        <f t="shared" si="5"/>
        <v>55608</v>
      </c>
      <c r="P57">
        <f t="shared" si="6"/>
        <v>0</v>
      </c>
      <c r="Q57" t="str">
        <f t="shared" si="7"/>
        <v>Low</v>
      </c>
    </row>
    <row r="58" spans="1:17" x14ac:dyDescent="0.35">
      <c r="A58" t="s">
        <v>117</v>
      </c>
      <c r="B58" t="s">
        <v>86</v>
      </c>
      <c r="C58" t="s">
        <v>37</v>
      </c>
      <c r="D58" t="s">
        <v>38</v>
      </c>
      <c r="E58">
        <v>52</v>
      </c>
      <c r="F58">
        <v>40</v>
      </c>
      <c r="G58">
        <v>40</v>
      </c>
      <c r="H58">
        <v>291</v>
      </c>
      <c r="I58" t="str">
        <f t="shared" si="0"/>
        <v>PO-GRN Mismatch</v>
      </c>
      <c r="J58" t="str">
        <f t="shared" si="1"/>
        <v>Exception</v>
      </c>
      <c r="K58">
        <f t="shared" si="2"/>
        <v>12</v>
      </c>
      <c r="L58">
        <f t="shared" si="2"/>
        <v>0</v>
      </c>
      <c r="M58">
        <f t="shared" si="3"/>
        <v>12</v>
      </c>
      <c r="N58">
        <f t="shared" si="4"/>
        <v>15132</v>
      </c>
      <c r="O58">
        <f t="shared" si="5"/>
        <v>11640</v>
      </c>
      <c r="P58">
        <f t="shared" si="6"/>
        <v>3492</v>
      </c>
      <c r="Q58" t="str">
        <f t="shared" si="7"/>
        <v>Medium</v>
      </c>
    </row>
    <row r="59" spans="1:17" x14ac:dyDescent="0.35">
      <c r="A59" t="s">
        <v>118</v>
      </c>
      <c r="B59" t="s">
        <v>53</v>
      </c>
      <c r="C59" t="s">
        <v>48</v>
      </c>
      <c r="D59" t="s">
        <v>49</v>
      </c>
      <c r="E59">
        <v>178</v>
      </c>
      <c r="F59">
        <v>178</v>
      </c>
      <c r="G59">
        <v>178</v>
      </c>
      <c r="H59">
        <v>178</v>
      </c>
      <c r="I59" t="str">
        <f t="shared" si="0"/>
        <v>Match</v>
      </c>
      <c r="J59" t="str">
        <f t="shared" si="1"/>
        <v>Valid</v>
      </c>
      <c r="K59">
        <f t="shared" si="2"/>
        <v>0</v>
      </c>
      <c r="L59">
        <f t="shared" si="2"/>
        <v>0</v>
      </c>
      <c r="M59">
        <f t="shared" si="3"/>
        <v>0</v>
      </c>
      <c r="N59">
        <f t="shared" si="4"/>
        <v>31684</v>
      </c>
      <c r="O59">
        <f t="shared" si="5"/>
        <v>31684</v>
      </c>
      <c r="P59">
        <f t="shared" si="6"/>
        <v>0</v>
      </c>
      <c r="Q59" t="str">
        <f t="shared" si="7"/>
        <v>Low</v>
      </c>
    </row>
    <row r="60" spans="1:17" x14ac:dyDescent="0.35">
      <c r="A60" t="s">
        <v>119</v>
      </c>
      <c r="B60" t="s">
        <v>76</v>
      </c>
      <c r="C60" t="s">
        <v>19</v>
      </c>
      <c r="D60" t="s">
        <v>20</v>
      </c>
      <c r="E60">
        <v>98</v>
      </c>
      <c r="F60">
        <v>78</v>
      </c>
      <c r="G60">
        <v>67</v>
      </c>
      <c r="H60">
        <v>400</v>
      </c>
      <c r="I60" t="str">
        <f t="shared" si="0"/>
        <v>All Three Mismatch</v>
      </c>
      <c r="J60" t="str">
        <f t="shared" si="1"/>
        <v>Exception</v>
      </c>
      <c r="K60">
        <f t="shared" si="2"/>
        <v>20</v>
      </c>
      <c r="L60">
        <f t="shared" si="2"/>
        <v>11</v>
      </c>
      <c r="M60">
        <f t="shared" si="3"/>
        <v>31</v>
      </c>
      <c r="N60">
        <f t="shared" si="4"/>
        <v>39200</v>
      </c>
      <c r="O60">
        <f t="shared" si="5"/>
        <v>26800</v>
      </c>
      <c r="P60">
        <f t="shared" si="6"/>
        <v>12400</v>
      </c>
      <c r="Q60" t="str">
        <f t="shared" si="7"/>
        <v>High</v>
      </c>
    </row>
    <row r="61" spans="1:17" x14ac:dyDescent="0.35">
      <c r="A61" t="s">
        <v>120</v>
      </c>
      <c r="B61" t="s">
        <v>22</v>
      </c>
      <c r="C61" t="s">
        <v>83</v>
      </c>
      <c r="D61" t="s">
        <v>84</v>
      </c>
      <c r="E61">
        <v>137</v>
      </c>
      <c r="F61">
        <v>130</v>
      </c>
      <c r="G61">
        <v>130</v>
      </c>
      <c r="H61">
        <v>262</v>
      </c>
      <c r="I61" t="str">
        <f t="shared" si="0"/>
        <v>PO-GRN Mismatch</v>
      </c>
      <c r="J61" t="str">
        <f t="shared" si="1"/>
        <v>Exception</v>
      </c>
      <c r="K61">
        <f t="shared" si="2"/>
        <v>7</v>
      </c>
      <c r="L61">
        <f t="shared" si="2"/>
        <v>0</v>
      </c>
      <c r="M61">
        <f t="shared" si="3"/>
        <v>7</v>
      </c>
      <c r="N61">
        <f t="shared" si="4"/>
        <v>35894</v>
      </c>
      <c r="O61">
        <f t="shared" si="5"/>
        <v>34060</v>
      </c>
      <c r="P61">
        <f t="shared" si="6"/>
        <v>1834</v>
      </c>
      <c r="Q61" t="str">
        <f t="shared" si="7"/>
        <v>Medium</v>
      </c>
    </row>
    <row r="62" spans="1:17" x14ac:dyDescent="0.35">
      <c r="A62" t="s">
        <v>121</v>
      </c>
      <c r="B62" t="s">
        <v>72</v>
      </c>
      <c r="C62" t="s">
        <v>83</v>
      </c>
      <c r="D62" t="s">
        <v>84</v>
      </c>
      <c r="E62">
        <v>143</v>
      </c>
      <c r="F62">
        <v>129</v>
      </c>
      <c r="G62">
        <v>116</v>
      </c>
      <c r="H62">
        <v>435</v>
      </c>
      <c r="I62" t="str">
        <f t="shared" si="0"/>
        <v>All Three Mismatch</v>
      </c>
      <c r="J62" t="str">
        <f t="shared" si="1"/>
        <v>Exception</v>
      </c>
      <c r="K62">
        <f t="shared" si="2"/>
        <v>14</v>
      </c>
      <c r="L62">
        <f t="shared" si="2"/>
        <v>13</v>
      </c>
      <c r="M62">
        <f t="shared" si="3"/>
        <v>27</v>
      </c>
      <c r="N62">
        <f t="shared" si="4"/>
        <v>62205</v>
      </c>
      <c r="O62">
        <f t="shared" si="5"/>
        <v>50460</v>
      </c>
      <c r="P62">
        <f t="shared" si="6"/>
        <v>11745</v>
      </c>
      <c r="Q62" t="str">
        <f t="shared" si="7"/>
        <v>High</v>
      </c>
    </row>
    <row r="63" spans="1:17" x14ac:dyDescent="0.35">
      <c r="A63" t="s">
        <v>122</v>
      </c>
      <c r="B63" t="s">
        <v>51</v>
      </c>
      <c r="C63" t="s">
        <v>69</v>
      </c>
      <c r="D63" t="s">
        <v>70</v>
      </c>
      <c r="E63">
        <v>125</v>
      </c>
      <c r="F63">
        <v>107</v>
      </c>
      <c r="G63">
        <v>107</v>
      </c>
      <c r="H63">
        <v>368</v>
      </c>
      <c r="I63" t="str">
        <f t="shared" si="0"/>
        <v>PO-GRN Mismatch</v>
      </c>
      <c r="J63" t="str">
        <f t="shared" si="1"/>
        <v>Exception</v>
      </c>
      <c r="K63">
        <f t="shared" si="2"/>
        <v>18</v>
      </c>
      <c r="L63">
        <f t="shared" si="2"/>
        <v>0</v>
      </c>
      <c r="M63">
        <f t="shared" si="3"/>
        <v>18</v>
      </c>
      <c r="N63">
        <f t="shared" si="4"/>
        <v>46000</v>
      </c>
      <c r="O63">
        <f t="shared" si="5"/>
        <v>39376</v>
      </c>
      <c r="P63">
        <f t="shared" si="6"/>
        <v>6624</v>
      </c>
      <c r="Q63" t="str">
        <f t="shared" si="7"/>
        <v>Medium</v>
      </c>
    </row>
    <row r="64" spans="1:17" x14ac:dyDescent="0.35">
      <c r="A64" t="s">
        <v>123</v>
      </c>
      <c r="B64" t="s">
        <v>44</v>
      </c>
      <c r="C64" t="s">
        <v>48</v>
      </c>
      <c r="D64" t="s">
        <v>49</v>
      </c>
      <c r="E64">
        <v>124</v>
      </c>
      <c r="F64">
        <v>124</v>
      </c>
      <c r="G64">
        <v>113</v>
      </c>
      <c r="H64">
        <v>311</v>
      </c>
      <c r="I64" t="str">
        <f t="shared" si="0"/>
        <v>GRN-Invoice Mismatch</v>
      </c>
      <c r="J64" t="str">
        <f t="shared" si="1"/>
        <v>Exception</v>
      </c>
      <c r="K64">
        <f t="shared" si="2"/>
        <v>0</v>
      </c>
      <c r="L64">
        <f t="shared" si="2"/>
        <v>11</v>
      </c>
      <c r="M64">
        <f t="shared" si="3"/>
        <v>11</v>
      </c>
      <c r="N64">
        <f t="shared" si="4"/>
        <v>38564</v>
      </c>
      <c r="O64">
        <f t="shared" si="5"/>
        <v>35143</v>
      </c>
      <c r="P64">
        <f t="shared" si="6"/>
        <v>3421</v>
      </c>
      <c r="Q64" t="str">
        <f t="shared" si="7"/>
        <v>Medium</v>
      </c>
    </row>
    <row r="65" spans="1:17" x14ac:dyDescent="0.35">
      <c r="A65" t="s">
        <v>124</v>
      </c>
      <c r="B65" t="s">
        <v>76</v>
      </c>
      <c r="C65" t="s">
        <v>23</v>
      </c>
      <c r="D65" t="s">
        <v>24</v>
      </c>
      <c r="E65">
        <v>96</v>
      </c>
      <c r="F65">
        <v>96</v>
      </c>
      <c r="G65">
        <v>96</v>
      </c>
      <c r="H65">
        <v>154</v>
      </c>
      <c r="I65" t="str">
        <f t="shared" si="0"/>
        <v>Match</v>
      </c>
      <c r="J65" t="str">
        <f t="shared" si="1"/>
        <v>Valid</v>
      </c>
      <c r="K65">
        <f t="shared" si="2"/>
        <v>0</v>
      </c>
      <c r="L65">
        <f t="shared" si="2"/>
        <v>0</v>
      </c>
      <c r="M65">
        <f t="shared" si="3"/>
        <v>0</v>
      </c>
      <c r="N65">
        <f t="shared" si="4"/>
        <v>14784</v>
      </c>
      <c r="O65">
        <f t="shared" si="5"/>
        <v>14784</v>
      </c>
      <c r="P65">
        <f t="shared" si="6"/>
        <v>0</v>
      </c>
      <c r="Q65" t="str">
        <f t="shared" si="7"/>
        <v>Low</v>
      </c>
    </row>
    <row r="66" spans="1:17" x14ac:dyDescent="0.35">
      <c r="A66" t="s">
        <v>125</v>
      </c>
      <c r="B66" t="s">
        <v>63</v>
      </c>
      <c r="C66" t="s">
        <v>69</v>
      </c>
      <c r="D66" t="s">
        <v>70</v>
      </c>
      <c r="E66">
        <v>140</v>
      </c>
      <c r="F66">
        <v>140</v>
      </c>
      <c r="G66">
        <v>140</v>
      </c>
      <c r="H66">
        <v>454</v>
      </c>
      <c r="I66" t="str">
        <f t="shared" si="0"/>
        <v>Match</v>
      </c>
      <c r="J66" t="str">
        <f t="shared" si="1"/>
        <v>Valid</v>
      </c>
      <c r="K66">
        <f t="shared" si="2"/>
        <v>0</v>
      </c>
      <c r="L66">
        <f t="shared" si="2"/>
        <v>0</v>
      </c>
      <c r="M66">
        <f t="shared" si="3"/>
        <v>0</v>
      </c>
      <c r="N66">
        <f t="shared" si="4"/>
        <v>63560</v>
      </c>
      <c r="O66">
        <f t="shared" si="5"/>
        <v>63560</v>
      </c>
      <c r="P66">
        <f t="shared" si="6"/>
        <v>0</v>
      </c>
      <c r="Q66" t="str">
        <f t="shared" si="7"/>
        <v>Low</v>
      </c>
    </row>
    <row r="67" spans="1:17" x14ac:dyDescent="0.35">
      <c r="A67" t="s">
        <v>126</v>
      </c>
      <c r="B67" t="s">
        <v>32</v>
      </c>
      <c r="C67" t="s">
        <v>33</v>
      </c>
      <c r="D67" t="s">
        <v>34</v>
      </c>
      <c r="E67">
        <v>155</v>
      </c>
      <c r="F67">
        <v>155</v>
      </c>
      <c r="G67">
        <v>155</v>
      </c>
      <c r="H67">
        <v>463</v>
      </c>
      <c r="I67" t="str">
        <f t="shared" ref="I67" si="8">IF(AND(E67=F67,F67=G67),"Match",
IF(AND(E67&lt;&gt;F67,F67=G67),"PO-GRN Mismatch",
IF(AND(E67=F67,F67&lt;&gt;G67),"GRN-Invoice Mismatch",
"All Three Mismatch")))</f>
        <v>Match</v>
      </c>
      <c r="J67" t="str">
        <f t="shared" ref="J67:J101" si="9">IF(I67="Match","Valid","Exception")</f>
        <v>Valid</v>
      </c>
      <c r="K67">
        <f t="shared" ref="K67:L101" si="10">ABS(E67-F67)</f>
        <v>0</v>
      </c>
      <c r="L67">
        <f t="shared" si="10"/>
        <v>0</v>
      </c>
      <c r="M67">
        <f t="shared" ref="M67:M101" si="11">ABS(E67-G67)</f>
        <v>0</v>
      </c>
      <c r="N67">
        <f t="shared" ref="N67:N101" si="12">E67*H67</f>
        <v>71765</v>
      </c>
      <c r="O67">
        <f t="shared" ref="O67:O101" si="13">G67*H67</f>
        <v>71765</v>
      </c>
      <c r="P67">
        <f t="shared" ref="P67:P101" si="14">ABS(E67-G67)*H67</f>
        <v>0</v>
      </c>
      <c r="Q67" t="str">
        <f t="shared" ref="Q67:Q101" si="15">IF(I67="All Three Mismatch","High",
IF(I67="PO-GRN Mismatch","Medium",
IF(I67="GRN-Invoice Mismatch","Medium","Low")))</f>
        <v>Low</v>
      </c>
    </row>
    <row r="68" spans="1:17" x14ac:dyDescent="0.35">
      <c r="A68" t="s">
        <v>127</v>
      </c>
      <c r="B68" t="s">
        <v>55</v>
      </c>
      <c r="C68" t="s">
        <v>41</v>
      </c>
      <c r="D68" t="s">
        <v>42</v>
      </c>
      <c r="E68">
        <v>191</v>
      </c>
      <c r="F68">
        <v>191</v>
      </c>
      <c r="G68">
        <v>191</v>
      </c>
      <c r="H68">
        <v>150</v>
      </c>
      <c r="I68" t="str">
        <f>IF(AND(E68=F68,F68=G68),"Match",
IF(AND(E68&lt;&gt;F68,F68=G68),"PO-GRN Mismatch",
IF(AND(E68=F68,F68&lt;&gt;G68),"GRN-Invoice Mismatch",
"All Three Mismatch")))</f>
        <v>Match</v>
      </c>
      <c r="J68" t="str">
        <f t="shared" si="9"/>
        <v>Valid</v>
      </c>
      <c r="K68">
        <f t="shared" si="10"/>
        <v>0</v>
      </c>
      <c r="L68">
        <f t="shared" si="10"/>
        <v>0</v>
      </c>
      <c r="M68">
        <f t="shared" si="11"/>
        <v>0</v>
      </c>
      <c r="N68">
        <f t="shared" si="12"/>
        <v>28650</v>
      </c>
      <c r="O68">
        <f t="shared" si="13"/>
        <v>28650</v>
      </c>
      <c r="P68">
        <f t="shared" si="14"/>
        <v>0</v>
      </c>
      <c r="Q68" t="str">
        <f t="shared" si="15"/>
        <v>Low</v>
      </c>
    </row>
    <row r="69" spans="1:17" x14ac:dyDescent="0.35">
      <c r="A69" t="s">
        <v>128</v>
      </c>
      <c r="B69" t="s">
        <v>44</v>
      </c>
      <c r="C69" t="s">
        <v>33</v>
      </c>
      <c r="D69" t="s">
        <v>34</v>
      </c>
      <c r="E69">
        <v>200</v>
      </c>
      <c r="F69">
        <v>200</v>
      </c>
      <c r="G69">
        <v>200</v>
      </c>
      <c r="H69">
        <v>189</v>
      </c>
      <c r="I69" t="str">
        <f t="shared" ref="I69:I83" si="16">IF(AND(E69=F69,F69=G69),"Match",
IF(AND(E69&lt;&gt;F69,F69=G69),"PO-GRN Mismatch",
IF(AND(E69=F69,F69&lt;&gt;G69),"GRN-Invoice Mismatch",
"All Three Mismatch")))</f>
        <v>Match</v>
      </c>
      <c r="J69" t="str">
        <f t="shared" si="9"/>
        <v>Valid</v>
      </c>
      <c r="K69">
        <f t="shared" si="10"/>
        <v>0</v>
      </c>
      <c r="L69">
        <f t="shared" si="10"/>
        <v>0</v>
      </c>
      <c r="M69">
        <f t="shared" si="11"/>
        <v>0</v>
      </c>
      <c r="N69">
        <f t="shared" si="12"/>
        <v>37800</v>
      </c>
      <c r="O69">
        <f t="shared" si="13"/>
        <v>37800</v>
      </c>
      <c r="P69">
        <f t="shared" si="14"/>
        <v>0</v>
      </c>
      <c r="Q69" t="str">
        <f t="shared" si="15"/>
        <v>Low</v>
      </c>
    </row>
    <row r="70" spans="1:17" x14ac:dyDescent="0.35">
      <c r="A70" t="s">
        <v>129</v>
      </c>
      <c r="B70" t="s">
        <v>67</v>
      </c>
      <c r="C70" t="s">
        <v>69</v>
      </c>
      <c r="D70" t="s">
        <v>70</v>
      </c>
      <c r="E70">
        <v>177</v>
      </c>
      <c r="F70">
        <v>177</v>
      </c>
      <c r="G70">
        <v>164</v>
      </c>
      <c r="H70">
        <v>363</v>
      </c>
      <c r="I70" t="str">
        <f t="shared" si="16"/>
        <v>GRN-Invoice Mismatch</v>
      </c>
      <c r="J70" t="str">
        <f t="shared" si="9"/>
        <v>Exception</v>
      </c>
      <c r="K70">
        <f t="shared" si="10"/>
        <v>0</v>
      </c>
      <c r="L70">
        <f t="shared" si="10"/>
        <v>13</v>
      </c>
      <c r="M70">
        <f t="shared" si="11"/>
        <v>13</v>
      </c>
      <c r="N70">
        <f t="shared" si="12"/>
        <v>64251</v>
      </c>
      <c r="O70">
        <f t="shared" si="13"/>
        <v>59532</v>
      </c>
      <c r="P70">
        <f t="shared" si="14"/>
        <v>4719</v>
      </c>
      <c r="Q70" t="str">
        <f t="shared" si="15"/>
        <v>Medium</v>
      </c>
    </row>
    <row r="71" spans="1:17" x14ac:dyDescent="0.35">
      <c r="A71" t="s">
        <v>130</v>
      </c>
      <c r="B71" t="s">
        <v>76</v>
      </c>
      <c r="C71" t="s">
        <v>60</v>
      </c>
      <c r="D71" t="s">
        <v>61</v>
      </c>
      <c r="E71">
        <v>86</v>
      </c>
      <c r="F71">
        <v>86</v>
      </c>
      <c r="G71">
        <v>86</v>
      </c>
      <c r="H71">
        <v>162</v>
      </c>
      <c r="I71" t="str">
        <f t="shared" si="16"/>
        <v>Match</v>
      </c>
      <c r="J71" t="str">
        <f t="shared" si="9"/>
        <v>Valid</v>
      </c>
      <c r="K71">
        <f t="shared" si="10"/>
        <v>0</v>
      </c>
      <c r="L71">
        <f t="shared" si="10"/>
        <v>0</v>
      </c>
      <c r="M71">
        <f t="shared" si="11"/>
        <v>0</v>
      </c>
      <c r="N71">
        <f t="shared" si="12"/>
        <v>13932</v>
      </c>
      <c r="O71">
        <f t="shared" si="13"/>
        <v>13932</v>
      </c>
      <c r="P71">
        <f t="shared" si="14"/>
        <v>0</v>
      </c>
      <c r="Q71" t="str">
        <f t="shared" si="15"/>
        <v>Low</v>
      </c>
    </row>
    <row r="72" spans="1:17" x14ac:dyDescent="0.35">
      <c r="A72" t="s">
        <v>131</v>
      </c>
      <c r="B72" t="s">
        <v>72</v>
      </c>
      <c r="C72" t="s">
        <v>48</v>
      </c>
      <c r="D72" t="s">
        <v>49</v>
      </c>
      <c r="E72">
        <v>87</v>
      </c>
      <c r="F72">
        <v>87</v>
      </c>
      <c r="G72">
        <v>87</v>
      </c>
      <c r="H72">
        <v>114</v>
      </c>
      <c r="I72" t="str">
        <f t="shared" si="16"/>
        <v>Match</v>
      </c>
      <c r="J72" t="str">
        <f t="shared" si="9"/>
        <v>Valid</v>
      </c>
      <c r="K72">
        <f t="shared" si="10"/>
        <v>0</v>
      </c>
      <c r="L72">
        <f t="shared" si="10"/>
        <v>0</v>
      </c>
      <c r="M72">
        <f t="shared" si="11"/>
        <v>0</v>
      </c>
      <c r="N72">
        <f t="shared" si="12"/>
        <v>9918</v>
      </c>
      <c r="O72">
        <f t="shared" si="13"/>
        <v>9918</v>
      </c>
      <c r="P72">
        <f t="shared" si="14"/>
        <v>0</v>
      </c>
      <c r="Q72" t="str">
        <f t="shared" si="15"/>
        <v>Low</v>
      </c>
    </row>
    <row r="73" spans="1:17" x14ac:dyDescent="0.35">
      <c r="A73" t="s">
        <v>132</v>
      </c>
      <c r="B73" t="s">
        <v>109</v>
      </c>
      <c r="C73" t="s">
        <v>48</v>
      </c>
      <c r="D73" t="s">
        <v>49</v>
      </c>
      <c r="E73">
        <v>75</v>
      </c>
      <c r="F73">
        <v>75</v>
      </c>
      <c r="G73">
        <v>75</v>
      </c>
      <c r="H73">
        <v>339</v>
      </c>
      <c r="I73" t="str">
        <f t="shared" si="16"/>
        <v>Match</v>
      </c>
      <c r="J73" t="str">
        <f t="shared" si="9"/>
        <v>Valid</v>
      </c>
      <c r="K73">
        <f t="shared" si="10"/>
        <v>0</v>
      </c>
      <c r="L73">
        <f t="shared" si="10"/>
        <v>0</v>
      </c>
      <c r="M73">
        <f t="shared" si="11"/>
        <v>0</v>
      </c>
      <c r="N73">
        <f t="shared" si="12"/>
        <v>25425</v>
      </c>
      <c r="O73">
        <f t="shared" si="13"/>
        <v>25425</v>
      </c>
      <c r="P73">
        <f t="shared" si="14"/>
        <v>0</v>
      </c>
      <c r="Q73" t="str">
        <f t="shared" si="15"/>
        <v>Low</v>
      </c>
    </row>
    <row r="74" spans="1:17" x14ac:dyDescent="0.35">
      <c r="A74" t="s">
        <v>133</v>
      </c>
      <c r="B74" t="s">
        <v>93</v>
      </c>
      <c r="C74" t="s">
        <v>69</v>
      </c>
      <c r="D74" t="s">
        <v>70</v>
      </c>
      <c r="E74">
        <v>160</v>
      </c>
      <c r="F74">
        <v>160</v>
      </c>
      <c r="G74">
        <v>154</v>
      </c>
      <c r="H74">
        <v>450</v>
      </c>
      <c r="I74" t="str">
        <f t="shared" si="16"/>
        <v>GRN-Invoice Mismatch</v>
      </c>
      <c r="J74" t="str">
        <f t="shared" si="9"/>
        <v>Exception</v>
      </c>
      <c r="K74">
        <f t="shared" si="10"/>
        <v>0</v>
      </c>
      <c r="L74">
        <f t="shared" si="10"/>
        <v>6</v>
      </c>
      <c r="M74">
        <f t="shared" si="11"/>
        <v>6</v>
      </c>
      <c r="N74">
        <f t="shared" si="12"/>
        <v>72000</v>
      </c>
      <c r="O74">
        <f t="shared" si="13"/>
        <v>69300</v>
      </c>
      <c r="P74">
        <f t="shared" si="14"/>
        <v>2700</v>
      </c>
      <c r="Q74" t="str">
        <f t="shared" si="15"/>
        <v>Medium</v>
      </c>
    </row>
    <row r="75" spans="1:17" x14ac:dyDescent="0.35">
      <c r="A75" t="s">
        <v>134</v>
      </c>
      <c r="B75" t="s">
        <v>30</v>
      </c>
      <c r="C75" t="s">
        <v>45</v>
      </c>
      <c r="D75" t="s">
        <v>46</v>
      </c>
      <c r="E75">
        <v>198</v>
      </c>
      <c r="F75">
        <v>198</v>
      </c>
      <c r="G75">
        <v>198</v>
      </c>
      <c r="H75">
        <v>281</v>
      </c>
      <c r="I75" t="str">
        <f t="shared" si="16"/>
        <v>Match</v>
      </c>
      <c r="J75" t="str">
        <f t="shared" si="9"/>
        <v>Valid</v>
      </c>
      <c r="K75">
        <f t="shared" si="10"/>
        <v>0</v>
      </c>
      <c r="L75">
        <f t="shared" si="10"/>
        <v>0</v>
      </c>
      <c r="M75">
        <f t="shared" si="11"/>
        <v>0</v>
      </c>
      <c r="N75">
        <f t="shared" si="12"/>
        <v>55638</v>
      </c>
      <c r="O75">
        <f t="shared" si="13"/>
        <v>55638</v>
      </c>
      <c r="P75">
        <f t="shared" si="14"/>
        <v>0</v>
      </c>
      <c r="Q75" t="str">
        <f t="shared" si="15"/>
        <v>Low</v>
      </c>
    </row>
    <row r="76" spans="1:17" x14ac:dyDescent="0.35">
      <c r="A76" t="s">
        <v>135</v>
      </c>
      <c r="B76" t="s">
        <v>72</v>
      </c>
      <c r="C76" t="s">
        <v>41</v>
      </c>
      <c r="D76" t="s">
        <v>42</v>
      </c>
      <c r="E76">
        <v>120</v>
      </c>
      <c r="F76">
        <v>120</v>
      </c>
      <c r="G76">
        <v>120</v>
      </c>
      <c r="H76">
        <v>398</v>
      </c>
      <c r="I76" t="str">
        <f t="shared" si="16"/>
        <v>Match</v>
      </c>
      <c r="J76" t="str">
        <f t="shared" si="9"/>
        <v>Valid</v>
      </c>
      <c r="K76">
        <f t="shared" si="10"/>
        <v>0</v>
      </c>
      <c r="L76">
        <f t="shared" si="10"/>
        <v>0</v>
      </c>
      <c r="M76">
        <f t="shared" si="11"/>
        <v>0</v>
      </c>
      <c r="N76">
        <f t="shared" si="12"/>
        <v>47760</v>
      </c>
      <c r="O76">
        <f t="shared" si="13"/>
        <v>47760</v>
      </c>
      <c r="P76">
        <f t="shared" si="14"/>
        <v>0</v>
      </c>
      <c r="Q76" t="str">
        <f t="shared" si="15"/>
        <v>Low</v>
      </c>
    </row>
    <row r="77" spans="1:17" x14ac:dyDescent="0.35">
      <c r="A77" t="s">
        <v>136</v>
      </c>
      <c r="B77" t="s">
        <v>76</v>
      </c>
      <c r="C77" t="s">
        <v>19</v>
      </c>
      <c r="D77" t="s">
        <v>20</v>
      </c>
      <c r="E77">
        <v>66</v>
      </c>
      <c r="F77">
        <v>66</v>
      </c>
      <c r="G77">
        <v>66</v>
      </c>
      <c r="H77">
        <v>297</v>
      </c>
      <c r="I77" t="str">
        <f t="shared" si="16"/>
        <v>Match</v>
      </c>
      <c r="J77" t="str">
        <f t="shared" si="9"/>
        <v>Valid</v>
      </c>
      <c r="K77">
        <f t="shared" si="10"/>
        <v>0</v>
      </c>
      <c r="L77">
        <f t="shared" si="10"/>
        <v>0</v>
      </c>
      <c r="M77">
        <f t="shared" si="11"/>
        <v>0</v>
      </c>
      <c r="N77">
        <f t="shared" si="12"/>
        <v>19602</v>
      </c>
      <c r="O77">
        <f t="shared" si="13"/>
        <v>19602</v>
      </c>
      <c r="P77">
        <f t="shared" si="14"/>
        <v>0</v>
      </c>
      <c r="Q77" t="str">
        <f t="shared" si="15"/>
        <v>Low</v>
      </c>
    </row>
    <row r="78" spans="1:17" x14ac:dyDescent="0.35">
      <c r="A78" t="s">
        <v>137</v>
      </c>
      <c r="B78" t="s">
        <v>53</v>
      </c>
      <c r="C78" t="s">
        <v>60</v>
      </c>
      <c r="D78" t="s">
        <v>61</v>
      </c>
      <c r="E78">
        <v>55</v>
      </c>
      <c r="F78">
        <v>55</v>
      </c>
      <c r="G78">
        <v>55</v>
      </c>
      <c r="H78">
        <v>491</v>
      </c>
      <c r="I78" t="str">
        <f t="shared" si="16"/>
        <v>Match</v>
      </c>
      <c r="J78" t="str">
        <f t="shared" si="9"/>
        <v>Valid</v>
      </c>
      <c r="K78">
        <f t="shared" si="10"/>
        <v>0</v>
      </c>
      <c r="L78">
        <f t="shared" si="10"/>
        <v>0</v>
      </c>
      <c r="M78">
        <f t="shared" si="11"/>
        <v>0</v>
      </c>
      <c r="N78">
        <f t="shared" si="12"/>
        <v>27005</v>
      </c>
      <c r="O78">
        <f t="shared" si="13"/>
        <v>27005</v>
      </c>
      <c r="P78">
        <f t="shared" si="14"/>
        <v>0</v>
      </c>
      <c r="Q78" t="str">
        <f t="shared" si="15"/>
        <v>Low</v>
      </c>
    </row>
    <row r="79" spans="1:17" x14ac:dyDescent="0.35">
      <c r="A79" t="s">
        <v>138</v>
      </c>
      <c r="B79" t="s">
        <v>30</v>
      </c>
      <c r="C79" t="s">
        <v>23</v>
      </c>
      <c r="D79" t="s">
        <v>24</v>
      </c>
      <c r="E79">
        <v>61</v>
      </c>
      <c r="F79">
        <v>61</v>
      </c>
      <c r="G79">
        <v>61</v>
      </c>
      <c r="H79">
        <v>227</v>
      </c>
      <c r="I79" t="str">
        <f t="shared" si="16"/>
        <v>Match</v>
      </c>
      <c r="J79" t="str">
        <f t="shared" si="9"/>
        <v>Valid</v>
      </c>
      <c r="K79">
        <f t="shared" si="10"/>
        <v>0</v>
      </c>
      <c r="L79">
        <f t="shared" si="10"/>
        <v>0</v>
      </c>
      <c r="M79">
        <f t="shared" si="11"/>
        <v>0</v>
      </c>
      <c r="N79">
        <f t="shared" si="12"/>
        <v>13847</v>
      </c>
      <c r="O79">
        <f t="shared" si="13"/>
        <v>13847</v>
      </c>
      <c r="P79">
        <f t="shared" si="14"/>
        <v>0</v>
      </c>
      <c r="Q79" t="str">
        <f t="shared" si="15"/>
        <v>Low</v>
      </c>
    </row>
    <row r="80" spans="1:17" x14ac:dyDescent="0.35">
      <c r="A80" t="s">
        <v>139</v>
      </c>
      <c r="B80" t="s">
        <v>51</v>
      </c>
      <c r="C80" t="s">
        <v>23</v>
      </c>
      <c r="D80" t="s">
        <v>24</v>
      </c>
      <c r="E80">
        <v>107</v>
      </c>
      <c r="F80">
        <v>107</v>
      </c>
      <c r="G80">
        <v>107</v>
      </c>
      <c r="H80">
        <v>261</v>
      </c>
      <c r="I80" t="str">
        <f t="shared" si="16"/>
        <v>Match</v>
      </c>
      <c r="J80" t="str">
        <f t="shared" si="9"/>
        <v>Valid</v>
      </c>
      <c r="K80">
        <f t="shared" si="10"/>
        <v>0</v>
      </c>
      <c r="L80">
        <f t="shared" si="10"/>
        <v>0</v>
      </c>
      <c r="M80">
        <f t="shared" si="11"/>
        <v>0</v>
      </c>
      <c r="N80">
        <f t="shared" si="12"/>
        <v>27927</v>
      </c>
      <c r="O80">
        <f t="shared" si="13"/>
        <v>27927</v>
      </c>
      <c r="P80">
        <f t="shared" si="14"/>
        <v>0</v>
      </c>
      <c r="Q80" t="str">
        <f t="shared" si="15"/>
        <v>Low</v>
      </c>
    </row>
    <row r="81" spans="1:17" x14ac:dyDescent="0.35">
      <c r="A81" t="s">
        <v>140</v>
      </c>
      <c r="B81" t="s">
        <v>86</v>
      </c>
      <c r="C81" t="s">
        <v>41</v>
      </c>
      <c r="D81" t="s">
        <v>42</v>
      </c>
      <c r="E81">
        <v>51</v>
      </c>
      <c r="F81">
        <v>51</v>
      </c>
      <c r="G81">
        <v>32</v>
      </c>
      <c r="H81">
        <v>408</v>
      </c>
      <c r="I81" t="str">
        <f t="shared" si="16"/>
        <v>GRN-Invoice Mismatch</v>
      </c>
      <c r="J81" t="str">
        <f t="shared" si="9"/>
        <v>Exception</v>
      </c>
      <c r="K81">
        <f t="shared" si="10"/>
        <v>0</v>
      </c>
      <c r="L81">
        <f t="shared" si="10"/>
        <v>19</v>
      </c>
      <c r="M81">
        <f t="shared" si="11"/>
        <v>19</v>
      </c>
      <c r="N81">
        <f t="shared" si="12"/>
        <v>20808</v>
      </c>
      <c r="O81">
        <f t="shared" si="13"/>
        <v>13056</v>
      </c>
      <c r="P81">
        <f t="shared" si="14"/>
        <v>7752</v>
      </c>
      <c r="Q81" t="str">
        <f t="shared" si="15"/>
        <v>Medium</v>
      </c>
    </row>
    <row r="82" spans="1:17" x14ac:dyDescent="0.35">
      <c r="A82" t="s">
        <v>141</v>
      </c>
      <c r="B82" t="s">
        <v>55</v>
      </c>
      <c r="C82" t="s">
        <v>57</v>
      </c>
      <c r="D82" t="s">
        <v>58</v>
      </c>
      <c r="E82">
        <v>114</v>
      </c>
      <c r="F82">
        <v>94</v>
      </c>
      <c r="G82">
        <v>88</v>
      </c>
      <c r="H82">
        <v>445</v>
      </c>
      <c r="I82" t="str">
        <f t="shared" si="16"/>
        <v>All Three Mismatch</v>
      </c>
      <c r="J82" t="str">
        <f t="shared" si="9"/>
        <v>Exception</v>
      </c>
      <c r="K82">
        <f t="shared" si="10"/>
        <v>20</v>
      </c>
      <c r="L82">
        <f t="shared" si="10"/>
        <v>6</v>
      </c>
      <c r="M82">
        <f t="shared" si="11"/>
        <v>26</v>
      </c>
      <c r="N82">
        <f t="shared" si="12"/>
        <v>50730</v>
      </c>
      <c r="O82">
        <f t="shared" si="13"/>
        <v>39160</v>
      </c>
      <c r="P82">
        <f t="shared" si="14"/>
        <v>11570</v>
      </c>
      <c r="Q82" t="str">
        <f t="shared" si="15"/>
        <v>High</v>
      </c>
    </row>
    <row r="83" spans="1:17" x14ac:dyDescent="0.35">
      <c r="A83" t="s">
        <v>142</v>
      </c>
      <c r="B83" t="s">
        <v>55</v>
      </c>
      <c r="C83" t="s">
        <v>41</v>
      </c>
      <c r="D83" t="s">
        <v>42</v>
      </c>
      <c r="E83">
        <v>199</v>
      </c>
      <c r="F83">
        <v>199</v>
      </c>
      <c r="G83">
        <v>199</v>
      </c>
      <c r="H83">
        <v>464</v>
      </c>
      <c r="I83" t="str">
        <f t="shared" si="16"/>
        <v>Match</v>
      </c>
      <c r="J83" t="str">
        <f t="shared" si="9"/>
        <v>Valid</v>
      </c>
      <c r="K83">
        <f t="shared" si="10"/>
        <v>0</v>
      </c>
      <c r="L83">
        <f t="shared" si="10"/>
        <v>0</v>
      </c>
      <c r="M83">
        <f t="shared" si="11"/>
        <v>0</v>
      </c>
      <c r="N83">
        <f t="shared" si="12"/>
        <v>92336</v>
      </c>
      <c r="O83">
        <f t="shared" si="13"/>
        <v>92336</v>
      </c>
      <c r="P83">
        <f t="shared" si="14"/>
        <v>0</v>
      </c>
      <c r="Q83" t="str">
        <f t="shared" si="15"/>
        <v>Low</v>
      </c>
    </row>
    <row r="84" spans="1:17" x14ac:dyDescent="0.35">
      <c r="A84" t="s">
        <v>143</v>
      </c>
      <c r="B84" t="s">
        <v>88</v>
      </c>
      <c r="C84" t="s">
        <v>57</v>
      </c>
      <c r="D84" t="s">
        <v>58</v>
      </c>
      <c r="E84">
        <v>174</v>
      </c>
      <c r="F84">
        <v>174</v>
      </c>
      <c r="G84">
        <v>174</v>
      </c>
      <c r="H84">
        <v>188</v>
      </c>
      <c r="I84" t="str">
        <f>IF(AND(E84=F84,F84=G84),"Match",
IF(AND(E84&lt;&gt;F84,F84=G84),"PO-GRN Mismatch",
IF(AND(E84=F84,F84&lt;&gt;G84),"GRN-Invoice Mismatch",
"All Three Mismatch")))</f>
        <v>Match</v>
      </c>
      <c r="J84" t="str">
        <f t="shared" si="9"/>
        <v>Valid</v>
      </c>
      <c r="K84">
        <f t="shared" si="10"/>
        <v>0</v>
      </c>
      <c r="L84">
        <f t="shared" si="10"/>
        <v>0</v>
      </c>
      <c r="M84">
        <f t="shared" si="11"/>
        <v>0</v>
      </c>
      <c r="N84">
        <f t="shared" si="12"/>
        <v>32712</v>
      </c>
      <c r="O84">
        <f t="shared" si="13"/>
        <v>32712</v>
      </c>
      <c r="P84">
        <f t="shared" si="14"/>
        <v>0</v>
      </c>
      <c r="Q84" t="str">
        <f t="shared" si="15"/>
        <v>Low</v>
      </c>
    </row>
    <row r="85" spans="1:17" x14ac:dyDescent="0.35">
      <c r="A85" t="s">
        <v>144</v>
      </c>
      <c r="B85" t="s">
        <v>93</v>
      </c>
      <c r="C85" t="s">
        <v>83</v>
      </c>
      <c r="D85" t="s">
        <v>84</v>
      </c>
      <c r="E85">
        <v>93</v>
      </c>
      <c r="F85">
        <v>93</v>
      </c>
      <c r="G85">
        <v>93</v>
      </c>
      <c r="H85">
        <v>248</v>
      </c>
      <c r="I85" t="str">
        <f t="shared" ref="I85:I101" si="17">IF(AND(E85=F85,F85=G85),"Match",
IF(AND(E85&lt;&gt;F85,F85=G85),"PO-GRN Mismatch",
IF(AND(E85=F85,F85&lt;&gt;G85),"GRN-Invoice Mismatch",
"All Three Mismatch")))</f>
        <v>Match</v>
      </c>
      <c r="J85" t="str">
        <f t="shared" si="9"/>
        <v>Valid</v>
      </c>
      <c r="K85">
        <f t="shared" si="10"/>
        <v>0</v>
      </c>
      <c r="L85">
        <f t="shared" si="10"/>
        <v>0</v>
      </c>
      <c r="M85">
        <f t="shared" si="11"/>
        <v>0</v>
      </c>
      <c r="N85">
        <f t="shared" si="12"/>
        <v>23064</v>
      </c>
      <c r="O85">
        <f t="shared" si="13"/>
        <v>23064</v>
      </c>
      <c r="P85">
        <f t="shared" si="14"/>
        <v>0</v>
      </c>
      <c r="Q85" t="str">
        <f t="shared" si="15"/>
        <v>Low</v>
      </c>
    </row>
    <row r="86" spans="1:17" x14ac:dyDescent="0.35">
      <c r="A86" t="s">
        <v>145</v>
      </c>
      <c r="B86" t="s">
        <v>65</v>
      </c>
      <c r="C86" t="s">
        <v>37</v>
      </c>
      <c r="D86" t="s">
        <v>38</v>
      </c>
      <c r="E86">
        <v>151</v>
      </c>
      <c r="F86">
        <v>151</v>
      </c>
      <c r="G86">
        <v>151</v>
      </c>
      <c r="H86">
        <v>373</v>
      </c>
      <c r="I86" t="str">
        <f t="shared" si="17"/>
        <v>Match</v>
      </c>
      <c r="J86" t="str">
        <f t="shared" si="9"/>
        <v>Valid</v>
      </c>
      <c r="K86">
        <f t="shared" si="10"/>
        <v>0</v>
      </c>
      <c r="L86">
        <f t="shared" si="10"/>
        <v>0</v>
      </c>
      <c r="M86">
        <f t="shared" si="11"/>
        <v>0</v>
      </c>
      <c r="N86">
        <f t="shared" si="12"/>
        <v>56323</v>
      </c>
      <c r="O86">
        <f t="shared" si="13"/>
        <v>56323</v>
      </c>
      <c r="P86">
        <f t="shared" si="14"/>
        <v>0</v>
      </c>
      <c r="Q86" t="str">
        <f t="shared" si="15"/>
        <v>Low</v>
      </c>
    </row>
    <row r="87" spans="1:17" x14ac:dyDescent="0.35">
      <c r="A87" t="s">
        <v>146</v>
      </c>
      <c r="B87" t="s">
        <v>88</v>
      </c>
      <c r="C87" t="s">
        <v>69</v>
      </c>
      <c r="D87" t="s">
        <v>70</v>
      </c>
      <c r="E87">
        <v>148</v>
      </c>
      <c r="F87">
        <v>148</v>
      </c>
      <c r="G87">
        <v>148</v>
      </c>
      <c r="H87">
        <v>163</v>
      </c>
      <c r="I87" t="str">
        <f t="shared" si="17"/>
        <v>Match</v>
      </c>
      <c r="J87" t="str">
        <f t="shared" si="9"/>
        <v>Valid</v>
      </c>
      <c r="K87">
        <f t="shared" si="10"/>
        <v>0</v>
      </c>
      <c r="L87">
        <f t="shared" si="10"/>
        <v>0</v>
      </c>
      <c r="M87">
        <f t="shared" si="11"/>
        <v>0</v>
      </c>
      <c r="N87">
        <f t="shared" si="12"/>
        <v>24124</v>
      </c>
      <c r="O87">
        <f t="shared" si="13"/>
        <v>24124</v>
      </c>
      <c r="P87">
        <f t="shared" si="14"/>
        <v>0</v>
      </c>
      <c r="Q87" t="str">
        <f t="shared" si="15"/>
        <v>Low</v>
      </c>
    </row>
    <row r="88" spans="1:17" x14ac:dyDescent="0.35">
      <c r="A88" t="s">
        <v>147</v>
      </c>
      <c r="B88" t="s">
        <v>30</v>
      </c>
      <c r="C88" t="s">
        <v>48</v>
      </c>
      <c r="D88" t="s">
        <v>49</v>
      </c>
      <c r="E88">
        <v>158</v>
      </c>
      <c r="F88">
        <v>158</v>
      </c>
      <c r="G88">
        <v>142</v>
      </c>
      <c r="H88">
        <v>298</v>
      </c>
      <c r="I88" t="str">
        <f t="shared" si="17"/>
        <v>GRN-Invoice Mismatch</v>
      </c>
      <c r="J88" t="str">
        <f t="shared" si="9"/>
        <v>Exception</v>
      </c>
      <c r="K88">
        <f t="shared" si="10"/>
        <v>0</v>
      </c>
      <c r="L88">
        <f t="shared" si="10"/>
        <v>16</v>
      </c>
      <c r="M88">
        <f t="shared" si="11"/>
        <v>16</v>
      </c>
      <c r="N88">
        <f t="shared" si="12"/>
        <v>47084</v>
      </c>
      <c r="O88">
        <f t="shared" si="13"/>
        <v>42316</v>
      </c>
      <c r="P88">
        <f t="shared" si="14"/>
        <v>4768</v>
      </c>
      <c r="Q88" t="str">
        <f t="shared" si="15"/>
        <v>Medium</v>
      </c>
    </row>
    <row r="89" spans="1:17" x14ac:dyDescent="0.35">
      <c r="A89" t="s">
        <v>148</v>
      </c>
      <c r="B89" t="s">
        <v>30</v>
      </c>
      <c r="C89" t="s">
        <v>27</v>
      </c>
      <c r="D89" t="s">
        <v>28</v>
      </c>
      <c r="E89">
        <v>98</v>
      </c>
      <c r="F89">
        <v>98</v>
      </c>
      <c r="G89">
        <v>98</v>
      </c>
      <c r="H89">
        <v>323</v>
      </c>
      <c r="I89" t="str">
        <f t="shared" si="17"/>
        <v>Match</v>
      </c>
      <c r="J89" t="str">
        <f t="shared" si="9"/>
        <v>Valid</v>
      </c>
      <c r="K89">
        <f t="shared" si="10"/>
        <v>0</v>
      </c>
      <c r="L89">
        <f t="shared" si="10"/>
        <v>0</v>
      </c>
      <c r="M89">
        <f t="shared" si="11"/>
        <v>0</v>
      </c>
      <c r="N89">
        <f t="shared" si="12"/>
        <v>31654</v>
      </c>
      <c r="O89">
        <f t="shared" si="13"/>
        <v>31654</v>
      </c>
      <c r="P89">
        <f t="shared" si="14"/>
        <v>0</v>
      </c>
      <c r="Q89" t="str">
        <f t="shared" si="15"/>
        <v>Low</v>
      </c>
    </row>
    <row r="90" spans="1:17" x14ac:dyDescent="0.35">
      <c r="A90" t="s">
        <v>149</v>
      </c>
      <c r="B90" t="s">
        <v>65</v>
      </c>
      <c r="C90" t="s">
        <v>33</v>
      </c>
      <c r="D90" t="s">
        <v>34</v>
      </c>
      <c r="E90">
        <v>58</v>
      </c>
      <c r="F90">
        <v>58</v>
      </c>
      <c r="G90">
        <v>58</v>
      </c>
      <c r="H90">
        <v>179</v>
      </c>
      <c r="I90" t="str">
        <f t="shared" si="17"/>
        <v>Match</v>
      </c>
      <c r="J90" t="str">
        <f t="shared" si="9"/>
        <v>Valid</v>
      </c>
      <c r="K90">
        <f t="shared" si="10"/>
        <v>0</v>
      </c>
      <c r="L90">
        <f t="shared" si="10"/>
        <v>0</v>
      </c>
      <c r="M90">
        <f t="shared" si="11"/>
        <v>0</v>
      </c>
      <c r="N90">
        <f t="shared" si="12"/>
        <v>10382</v>
      </c>
      <c r="O90">
        <f t="shared" si="13"/>
        <v>10382</v>
      </c>
      <c r="P90">
        <f t="shared" si="14"/>
        <v>0</v>
      </c>
      <c r="Q90" t="str">
        <f t="shared" si="15"/>
        <v>Low</v>
      </c>
    </row>
    <row r="91" spans="1:17" x14ac:dyDescent="0.35">
      <c r="A91" t="s">
        <v>150</v>
      </c>
      <c r="B91" t="s">
        <v>40</v>
      </c>
      <c r="C91" t="s">
        <v>57</v>
      </c>
      <c r="D91" t="s">
        <v>58</v>
      </c>
      <c r="E91">
        <v>111</v>
      </c>
      <c r="F91">
        <v>104</v>
      </c>
      <c r="G91">
        <v>104</v>
      </c>
      <c r="H91">
        <v>378</v>
      </c>
      <c r="I91" t="str">
        <f t="shared" si="17"/>
        <v>PO-GRN Mismatch</v>
      </c>
      <c r="J91" t="str">
        <f t="shared" si="9"/>
        <v>Exception</v>
      </c>
      <c r="K91">
        <f t="shared" si="10"/>
        <v>7</v>
      </c>
      <c r="L91">
        <f t="shared" si="10"/>
        <v>0</v>
      </c>
      <c r="M91">
        <f t="shared" si="11"/>
        <v>7</v>
      </c>
      <c r="N91">
        <f t="shared" si="12"/>
        <v>41958</v>
      </c>
      <c r="O91">
        <f t="shared" si="13"/>
        <v>39312</v>
      </c>
      <c r="P91">
        <f t="shared" si="14"/>
        <v>2646</v>
      </c>
      <c r="Q91" t="str">
        <f t="shared" si="15"/>
        <v>Medium</v>
      </c>
    </row>
    <row r="92" spans="1:17" x14ac:dyDescent="0.35">
      <c r="A92" t="s">
        <v>151</v>
      </c>
      <c r="B92" t="s">
        <v>30</v>
      </c>
      <c r="C92" t="s">
        <v>19</v>
      </c>
      <c r="D92" t="s">
        <v>20</v>
      </c>
      <c r="E92">
        <v>82</v>
      </c>
      <c r="F92">
        <v>82</v>
      </c>
      <c r="G92">
        <v>82</v>
      </c>
      <c r="H92">
        <v>181</v>
      </c>
      <c r="I92" t="str">
        <f t="shared" si="17"/>
        <v>Match</v>
      </c>
      <c r="J92" t="str">
        <f t="shared" si="9"/>
        <v>Valid</v>
      </c>
      <c r="K92">
        <f t="shared" si="10"/>
        <v>0</v>
      </c>
      <c r="L92">
        <f t="shared" si="10"/>
        <v>0</v>
      </c>
      <c r="M92">
        <f t="shared" si="11"/>
        <v>0</v>
      </c>
      <c r="N92">
        <f t="shared" si="12"/>
        <v>14842</v>
      </c>
      <c r="O92">
        <f t="shared" si="13"/>
        <v>14842</v>
      </c>
      <c r="P92">
        <f t="shared" si="14"/>
        <v>0</v>
      </c>
      <c r="Q92" t="str">
        <f t="shared" si="15"/>
        <v>Low</v>
      </c>
    </row>
    <row r="93" spans="1:17" x14ac:dyDescent="0.35">
      <c r="A93" t="s">
        <v>152</v>
      </c>
      <c r="B93" t="s">
        <v>55</v>
      </c>
      <c r="C93" t="s">
        <v>45</v>
      </c>
      <c r="D93" t="s">
        <v>46</v>
      </c>
      <c r="E93">
        <v>144</v>
      </c>
      <c r="F93">
        <v>144</v>
      </c>
      <c r="G93">
        <v>144</v>
      </c>
      <c r="H93">
        <v>292</v>
      </c>
      <c r="I93" t="str">
        <f t="shared" si="17"/>
        <v>Match</v>
      </c>
      <c r="J93" t="str">
        <f t="shared" si="9"/>
        <v>Valid</v>
      </c>
      <c r="K93">
        <f t="shared" si="10"/>
        <v>0</v>
      </c>
      <c r="L93">
        <f t="shared" si="10"/>
        <v>0</v>
      </c>
      <c r="M93">
        <f t="shared" si="11"/>
        <v>0</v>
      </c>
      <c r="N93">
        <f t="shared" si="12"/>
        <v>42048</v>
      </c>
      <c r="O93">
        <f t="shared" si="13"/>
        <v>42048</v>
      </c>
      <c r="P93">
        <f t="shared" si="14"/>
        <v>0</v>
      </c>
      <c r="Q93" t="str">
        <f t="shared" si="15"/>
        <v>Low</v>
      </c>
    </row>
    <row r="94" spans="1:17" x14ac:dyDescent="0.35">
      <c r="A94" t="s">
        <v>153</v>
      </c>
      <c r="B94" t="s">
        <v>26</v>
      </c>
      <c r="C94" t="s">
        <v>19</v>
      </c>
      <c r="D94" t="s">
        <v>20</v>
      </c>
      <c r="E94">
        <v>198</v>
      </c>
      <c r="F94">
        <v>198</v>
      </c>
      <c r="G94">
        <v>198</v>
      </c>
      <c r="H94">
        <v>204</v>
      </c>
      <c r="I94" t="str">
        <f t="shared" si="17"/>
        <v>Match</v>
      </c>
      <c r="J94" t="str">
        <f t="shared" si="9"/>
        <v>Valid</v>
      </c>
      <c r="K94">
        <f t="shared" si="10"/>
        <v>0</v>
      </c>
      <c r="L94">
        <f t="shared" si="10"/>
        <v>0</v>
      </c>
      <c r="M94">
        <f t="shared" si="11"/>
        <v>0</v>
      </c>
      <c r="N94">
        <f t="shared" si="12"/>
        <v>40392</v>
      </c>
      <c r="O94">
        <f t="shared" si="13"/>
        <v>40392</v>
      </c>
      <c r="P94">
        <f t="shared" si="14"/>
        <v>0</v>
      </c>
      <c r="Q94" t="str">
        <f t="shared" si="15"/>
        <v>Low</v>
      </c>
    </row>
    <row r="95" spans="1:17" x14ac:dyDescent="0.35">
      <c r="A95" t="s">
        <v>154</v>
      </c>
      <c r="B95" t="s">
        <v>40</v>
      </c>
      <c r="C95" t="s">
        <v>45</v>
      </c>
      <c r="D95" t="s">
        <v>46</v>
      </c>
      <c r="E95">
        <v>108</v>
      </c>
      <c r="F95">
        <v>108</v>
      </c>
      <c r="G95">
        <v>99</v>
      </c>
      <c r="H95">
        <v>405</v>
      </c>
      <c r="I95" t="str">
        <f t="shared" si="17"/>
        <v>GRN-Invoice Mismatch</v>
      </c>
      <c r="J95" t="str">
        <f t="shared" si="9"/>
        <v>Exception</v>
      </c>
      <c r="K95">
        <f t="shared" si="10"/>
        <v>0</v>
      </c>
      <c r="L95">
        <f t="shared" si="10"/>
        <v>9</v>
      </c>
      <c r="M95">
        <f t="shared" si="11"/>
        <v>9</v>
      </c>
      <c r="N95">
        <f t="shared" si="12"/>
        <v>43740</v>
      </c>
      <c r="O95">
        <f t="shared" si="13"/>
        <v>40095</v>
      </c>
      <c r="P95">
        <f t="shared" si="14"/>
        <v>3645</v>
      </c>
      <c r="Q95" t="str">
        <f t="shared" si="15"/>
        <v>Medium</v>
      </c>
    </row>
    <row r="96" spans="1:17" x14ac:dyDescent="0.35">
      <c r="A96" t="s">
        <v>155</v>
      </c>
      <c r="B96" t="s">
        <v>67</v>
      </c>
      <c r="C96" t="s">
        <v>27</v>
      </c>
      <c r="D96" t="s">
        <v>28</v>
      </c>
      <c r="E96">
        <v>162</v>
      </c>
      <c r="F96">
        <v>162</v>
      </c>
      <c r="G96">
        <v>162</v>
      </c>
      <c r="H96">
        <v>226</v>
      </c>
      <c r="I96" t="str">
        <f t="shared" si="17"/>
        <v>Match</v>
      </c>
      <c r="J96" t="str">
        <f t="shared" si="9"/>
        <v>Valid</v>
      </c>
      <c r="K96">
        <f t="shared" si="10"/>
        <v>0</v>
      </c>
      <c r="L96">
        <f t="shared" si="10"/>
        <v>0</v>
      </c>
      <c r="M96">
        <f t="shared" si="11"/>
        <v>0</v>
      </c>
      <c r="N96">
        <f t="shared" si="12"/>
        <v>36612</v>
      </c>
      <c r="O96">
        <f t="shared" si="13"/>
        <v>36612</v>
      </c>
      <c r="P96">
        <f t="shared" si="14"/>
        <v>0</v>
      </c>
      <c r="Q96" t="str">
        <f t="shared" si="15"/>
        <v>Low</v>
      </c>
    </row>
    <row r="97" spans="1:17" x14ac:dyDescent="0.35">
      <c r="A97" t="s">
        <v>156</v>
      </c>
      <c r="B97" t="s">
        <v>72</v>
      </c>
      <c r="C97" t="s">
        <v>83</v>
      </c>
      <c r="D97" t="s">
        <v>84</v>
      </c>
      <c r="E97">
        <v>153</v>
      </c>
      <c r="F97">
        <v>142</v>
      </c>
      <c r="G97">
        <v>142</v>
      </c>
      <c r="H97">
        <v>447</v>
      </c>
      <c r="I97" t="str">
        <f t="shared" si="17"/>
        <v>PO-GRN Mismatch</v>
      </c>
      <c r="J97" t="str">
        <f t="shared" si="9"/>
        <v>Exception</v>
      </c>
      <c r="K97">
        <f t="shared" si="10"/>
        <v>11</v>
      </c>
      <c r="L97">
        <f t="shared" si="10"/>
        <v>0</v>
      </c>
      <c r="M97">
        <f t="shared" si="11"/>
        <v>11</v>
      </c>
      <c r="N97">
        <f t="shared" si="12"/>
        <v>68391</v>
      </c>
      <c r="O97">
        <f t="shared" si="13"/>
        <v>63474</v>
      </c>
      <c r="P97">
        <f t="shared" si="14"/>
        <v>4917</v>
      </c>
      <c r="Q97" t="str">
        <f t="shared" si="15"/>
        <v>Medium</v>
      </c>
    </row>
    <row r="98" spans="1:17" x14ac:dyDescent="0.35">
      <c r="A98" t="s">
        <v>157</v>
      </c>
      <c r="B98" t="s">
        <v>55</v>
      </c>
      <c r="C98" t="s">
        <v>41</v>
      </c>
      <c r="D98" t="s">
        <v>42</v>
      </c>
      <c r="E98">
        <v>181</v>
      </c>
      <c r="F98">
        <v>181</v>
      </c>
      <c r="G98">
        <v>181</v>
      </c>
      <c r="H98">
        <v>114</v>
      </c>
      <c r="I98" t="str">
        <f t="shared" si="17"/>
        <v>Match</v>
      </c>
      <c r="J98" t="str">
        <f t="shared" si="9"/>
        <v>Valid</v>
      </c>
      <c r="K98">
        <f t="shared" si="10"/>
        <v>0</v>
      </c>
      <c r="L98">
        <f t="shared" si="10"/>
        <v>0</v>
      </c>
      <c r="M98">
        <f t="shared" si="11"/>
        <v>0</v>
      </c>
      <c r="N98">
        <f t="shared" si="12"/>
        <v>20634</v>
      </c>
      <c r="O98">
        <f t="shared" si="13"/>
        <v>20634</v>
      </c>
      <c r="P98">
        <f t="shared" si="14"/>
        <v>0</v>
      </c>
      <c r="Q98" t="str">
        <f t="shared" si="15"/>
        <v>Low</v>
      </c>
    </row>
    <row r="99" spans="1:17" x14ac:dyDescent="0.35">
      <c r="A99" t="s">
        <v>158</v>
      </c>
      <c r="B99" t="s">
        <v>55</v>
      </c>
      <c r="C99" t="s">
        <v>33</v>
      </c>
      <c r="D99" t="s">
        <v>34</v>
      </c>
      <c r="E99">
        <v>195</v>
      </c>
      <c r="F99">
        <v>195</v>
      </c>
      <c r="G99">
        <v>195</v>
      </c>
      <c r="H99">
        <v>463</v>
      </c>
      <c r="I99" t="str">
        <f t="shared" si="17"/>
        <v>Match</v>
      </c>
      <c r="J99" t="str">
        <f t="shared" si="9"/>
        <v>Valid</v>
      </c>
      <c r="K99">
        <f t="shared" si="10"/>
        <v>0</v>
      </c>
      <c r="L99">
        <f t="shared" si="10"/>
        <v>0</v>
      </c>
      <c r="M99">
        <f t="shared" si="11"/>
        <v>0</v>
      </c>
      <c r="N99">
        <f t="shared" si="12"/>
        <v>90285</v>
      </c>
      <c r="O99">
        <f t="shared" si="13"/>
        <v>90285</v>
      </c>
      <c r="P99">
        <f t="shared" si="14"/>
        <v>0</v>
      </c>
      <c r="Q99" t="str">
        <f t="shared" si="15"/>
        <v>Low</v>
      </c>
    </row>
    <row r="100" spans="1:17" x14ac:dyDescent="0.35">
      <c r="A100" t="s">
        <v>159</v>
      </c>
      <c r="B100" t="s">
        <v>44</v>
      </c>
      <c r="C100" t="s">
        <v>27</v>
      </c>
      <c r="D100" t="s">
        <v>28</v>
      </c>
      <c r="E100">
        <v>72</v>
      </c>
      <c r="F100">
        <v>60</v>
      </c>
      <c r="G100">
        <v>60</v>
      </c>
      <c r="H100">
        <v>439</v>
      </c>
      <c r="I100" t="str">
        <f t="shared" si="17"/>
        <v>PO-GRN Mismatch</v>
      </c>
      <c r="J100" t="str">
        <f t="shared" si="9"/>
        <v>Exception</v>
      </c>
      <c r="K100">
        <f t="shared" si="10"/>
        <v>12</v>
      </c>
      <c r="L100">
        <f t="shared" si="10"/>
        <v>0</v>
      </c>
      <c r="M100">
        <f t="shared" si="11"/>
        <v>12</v>
      </c>
      <c r="N100">
        <f t="shared" si="12"/>
        <v>31608</v>
      </c>
      <c r="O100">
        <f t="shared" si="13"/>
        <v>26340</v>
      </c>
      <c r="P100">
        <f t="shared" si="14"/>
        <v>5268</v>
      </c>
      <c r="Q100" t="str">
        <f t="shared" si="15"/>
        <v>Medium</v>
      </c>
    </row>
    <row r="101" spans="1:17" x14ac:dyDescent="0.35">
      <c r="A101" t="s">
        <v>160</v>
      </c>
      <c r="B101" t="s">
        <v>26</v>
      </c>
      <c r="C101" t="s">
        <v>27</v>
      </c>
      <c r="D101" t="s">
        <v>28</v>
      </c>
      <c r="E101">
        <v>77</v>
      </c>
      <c r="F101">
        <v>77</v>
      </c>
      <c r="G101">
        <v>77</v>
      </c>
      <c r="H101">
        <v>488</v>
      </c>
      <c r="I101" t="str">
        <f t="shared" si="17"/>
        <v>Match</v>
      </c>
      <c r="J101" t="str">
        <f t="shared" si="9"/>
        <v>Valid</v>
      </c>
      <c r="K101">
        <f t="shared" si="10"/>
        <v>0</v>
      </c>
      <c r="L101">
        <f t="shared" si="10"/>
        <v>0</v>
      </c>
      <c r="M101">
        <f t="shared" si="11"/>
        <v>0</v>
      </c>
      <c r="N101">
        <f t="shared" si="12"/>
        <v>37576</v>
      </c>
      <c r="O101">
        <f t="shared" si="13"/>
        <v>37576</v>
      </c>
      <c r="P101">
        <f t="shared" si="14"/>
        <v>0</v>
      </c>
      <c r="Q101" t="str">
        <f t="shared" si="15"/>
        <v>Low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 6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Jain</dc:creator>
  <cp:lastModifiedBy>Khushi Jain</cp:lastModifiedBy>
  <dcterms:created xsi:type="dcterms:W3CDTF">2026-07-05T12:42:26Z</dcterms:created>
  <dcterms:modified xsi:type="dcterms:W3CDTF">2026-07-05T12:43:29Z</dcterms:modified>
</cp:coreProperties>
</file>