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a6d49907f61831/Desktop/P2P Internship Project/Datasets/"/>
    </mc:Choice>
  </mc:AlternateContent>
  <xr:revisionPtr revIDLastSave="1" documentId="8_{DB01F24E-606D-44BD-B146-9171CA9ACED6}" xr6:coauthVersionLast="47" xr6:coauthVersionMax="47" xr10:uidLastSave="{DFA18DC9-B058-431B-809B-2FFC953A9275}"/>
  <bookViews>
    <workbookView xWindow="-110" yWindow="-110" windowWidth="19420" windowHeight="11500" xr2:uid="{90FAA7F6-5B3A-4430-A499-7C984E347A3F}"/>
  </bookViews>
  <sheets>
    <sheet name="P2P Scenario 2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01" i="1" l="1"/>
  <c r="K101" i="1"/>
  <c r="M101" i="1" s="1"/>
  <c r="F101" i="1" a="1"/>
  <c r="F101" i="1" s="1"/>
  <c r="L101" i="1" s="1"/>
  <c r="O100" i="1"/>
  <c r="M100" i="1"/>
  <c r="K100" i="1"/>
  <c r="F100" i="1" a="1"/>
  <c r="F100" i="1" s="1"/>
  <c r="L100" i="1" s="1"/>
  <c r="O99" i="1"/>
  <c r="M99" i="1"/>
  <c r="K99" i="1"/>
  <c r="F99" i="1" a="1"/>
  <c r="F99" i="1" s="1"/>
  <c r="L99" i="1" s="1"/>
  <c r="O98" i="1"/>
  <c r="K98" i="1"/>
  <c r="M98" i="1" s="1"/>
  <c r="F98" i="1" a="1"/>
  <c r="F98" i="1" s="1"/>
  <c r="L98" i="1" s="1"/>
  <c r="O97" i="1"/>
  <c r="K97" i="1"/>
  <c r="M97" i="1" s="1"/>
  <c r="F97" i="1" a="1"/>
  <c r="F97" i="1" s="1"/>
  <c r="L97" i="1" s="1"/>
  <c r="O96" i="1"/>
  <c r="K96" i="1"/>
  <c r="M96" i="1" s="1"/>
  <c r="N96" i="1" s="1"/>
  <c r="F96" i="1" a="1"/>
  <c r="F96" i="1" s="1"/>
  <c r="L96" i="1" s="1"/>
  <c r="O95" i="1"/>
  <c r="K95" i="1"/>
  <c r="M95" i="1" s="1"/>
  <c r="F95" i="1" a="1"/>
  <c r="F95" i="1" s="1"/>
  <c r="L95" i="1" s="1"/>
  <c r="O94" i="1"/>
  <c r="K94" i="1"/>
  <c r="M94" i="1" s="1"/>
  <c r="F94" i="1" a="1"/>
  <c r="F94" i="1" s="1"/>
  <c r="L94" i="1" s="1"/>
  <c r="O93" i="1"/>
  <c r="K93" i="1"/>
  <c r="M93" i="1" s="1"/>
  <c r="F93" i="1" a="1"/>
  <c r="F93" i="1" s="1"/>
  <c r="L93" i="1" s="1"/>
  <c r="O92" i="1"/>
  <c r="K92" i="1"/>
  <c r="M92" i="1" s="1"/>
  <c r="F92" i="1" a="1"/>
  <c r="F92" i="1" s="1"/>
  <c r="L92" i="1" s="1"/>
  <c r="O91" i="1"/>
  <c r="K91" i="1"/>
  <c r="M91" i="1" s="1"/>
  <c r="F91" i="1" a="1"/>
  <c r="F91" i="1" s="1"/>
  <c r="L91" i="1" s="1"/>
  <c r="O90" i="1"/>
  <c r="K90" i="1"/>
  <c r="M90" i="1" s="1"/>
  <c r="N90" i="1" s="1"/>
  <c r="F90" i="1" a="1"/>
  <c r="F90" i="1" s="1"/>
  <c r="L90" i="1" s="1"/>
  <c r="O89" i="1"/>
  <c r="K89" i="1"/>
  <c r="M89" i="1" s="1"/>
  <c r="F89" i="1" a="1"/>
  <c r="F89" i="1" s="1"/>
  <c r="L89" i="1" s="1"/>
  <c r="O88" i="1"/>
  <c r="K88" i="1"/>
  <c r="M88" i="1" s="1"/>
  <c r="F88" i="1"/>
  <c r="L88" i="1" s="1"/>
  <c r="F88" i="1" a="1"/>
  <c r="O87" i="1"/>
  <c r="K87" i="1"/>
  <c r="M87" i="1" s="1"/>
  <c r="N87" i="1" s="1"/>
  <c r="F87" i="1"/>
  <c r="L87" i="1" s="1"/>
  <c r="F87" i="1" a="1"/>
  <c r="O86" i="1"/>
  <c r="K86" i="1"/>
  <c r="M86" i="1" s="1"/>
  <c r="F86" i="1" a="1"/>
  <c r="F86" i="1" s="1"/>
  <c r="L86" i="1" s="1"/>
  <c r="O85" i="1"/>
  <c r="M85" i="1"/>
  <c r="N85" i="1" s="1"/>
  <c r="K85" i="1"/>
  <c r="F85" i="1" a="1"/>
  <c r="F85" i="1" s="1"/>
  <c r="L85" i="1" s="1"/>
  <c r="O84" i="1"/>
  <c r="K84" i="1"/>
  <c r="M84" i="1" s="1"/>
  <c r="F84" i="1"/>
  <c r="L84" i="1" s="1"/>
  <c r="F84" i="1" a="1"/>
  <c r="O83" i="1"/>
  <c r="K83" i="1"/>
  <c r="M83" i="1" s="1"/>
  <c r="F83" i="1" a="1"/>
  <c r="F83" i="1" s="1"/>
  <c r="L83" i="1" s="1"/>
  <c r="O82" i="1"/>
  <c r="M82" i="1"/>
  <c r="N82" i="1" s="1"/>
  <c r="L82" i="1"/>
  <c r="K82" i="1"/>
  <c r="F82" i="1"/>
  <c r="F82" i="1" a="1"/>
  <c r="O81" i="1"/>
  <c r="K81" i="1"/>
  <c r="M81" i="1" s="1"/>
  <c r="F81" i="1" a="1"/>
  <c r="F81" i="1" s="1"/>
  <c r="L81" i="1" s="1"/>
  <c r="O80" i="1"/>
  <c r="M80" i="1"/>
  <c r="N80" i="1" s="1"/>
  <c r="K80" i="1"/>
  <c r="F80" i="1" a="1"/>
  <c r="F80" i="1" s="1"/>
  <c r="L80" i="1" s="1"/>
  <c r="O79" i="1"/>
  <c r="M79" i="1"/>
  <c r="K79" i="1"/>
  <c r="F79" i="1"/>
  <c r="L79" i="1" s="1"/>
  <c r="F79" i="1" a="1"/>
  <c r="O78" i="1"/>
  <c r="K78" i="1"/>
  <c r="M78" i="1" s="1"/>
  <c r="N78" i="1" s="1"/>
  <c r="F78" i="1" a="1"/>
  <c r="F78" i="1" s="1"/>
  <c r="L78" i="1" s="1"/>
  <c r="O77" i="1"/>
  <c r="K77" i="1"/>
  <c r="M77" i="1" s="1"/>
  <c r="F77" i="1" a="1"/>
  <c r="F77" i="1" s="1"/>
  <c r="L77" i="1" s="1"/>
  <c r="O76" i="1"/>
  <c r="M76" i="1"/>
  <c r="N76" i="1" s="1"/>
  <c r="K76" i="1"/>
  <c r="F76" i="1" a="1"/>
  <c r="F76" i="1" s="1"/>
  <c r="L76" i="1" s="1"/>
  <c r="O75" i="1"/>
  <c r="K75" i="1"/>
  <c r="M75" i="1" s="1"/>
  <c r="N75" i="1" s="1"/>
  <c r="F75" i="1" a="1"/>
  <c r="F75" i="1" s="1"/>
  <c r="L75" i="1" s="1"/>
  <c r="O74" i="1"/>
  <c r="K74" i="1"/>
  <c r="M74" i="1" s="1"/>
  <c r="N74" i="1" s="1"/>
  <c r="F74" i="1" a="1"/>
  <c r="F74" i="1" s="1"/>
  <c r="L74" i="1" s="1"/>
  <c r="O73" i="1"/>
  <c r="K73" i="1"/>
  <c r="M73" i="1" s="1"/>
  <c r="F73" i="1" a="1"/>
  <c r="F73" i="1" s="1"/>
  <c r="L73" i="1" s="1"/>
  <c r="O72" i="1"/>
  <c r="K72" i="1"/>
  <c r="M72" i="1" s="1"/>
  <c r="F72" i="1"/>
  <c r="L72" i="1" s="1"/>
  <c r="F72" i="1" a="1"/>
  <c r="O71" i="1"/>
  <c r="K71" i="1"/>
  <c r="M71" i="1" s="1"/>
  <c r="F71" i="1" a="1"/>
  <c r="F71" i="1" s="1"/>
  <c r="L71" i="1" s="1"/>
  <c r="O70" i="1"/>
  <c r="K70" i="1"/>
  <c r="M70" i="1" s="1"/>
  <c r="F70" i="1"/>
  <c r="L70" i="1" s="1"/>
  <c r="F70" i="1" a="1"/>
  <c r="O69" i="1"/>
  <c r="M69" i="1"/>
  <c r="K69" i="1"/>
  <c r="F69" i="1"/>
  <c r="L69" i="1" s="1"/>
  <c r="F69" i="1" a="1"/>
  <c r="O68" i="1"/>
  <c r="K68" i="1"/>
  <c r="M68" i="1" s="1"/>
  <c r="N68" i="1" s="1"/>
  <c r="F68" i="1" a="1"/>
  <c r="F68" i="1" s="1"/>
  <c r="L68" i="1" s="1"/>
  <c r="O67" i="1"/>
  <c r="M67" i="1"/>
  <c r="K67" i="1"/>
  <c r="F67" i="1" a="1"/>
  <c r="F67" i="1" s="1"/>
  <c r="L67" i="1" s="1"/>
  <c r="O66" i="1"/>
  <c r="K66" i="1"/>
  <c r="M66" i="1" s="1"/>
  <c r="N66" i="1" s="1"/>
  <c r="F66" i="1"/>
  <c r="L66" i="1" s="1"/>
  <c r="F66" i="1" a="1"/>
  <c r="O65" i="1"/>
  <c r="K65" i="1"/>
  <c r="M65" i="1" s="1"/>
  <c r="F65" i="1" a="1"/>
  <c r="F65" i="1" s="1"/>
  <c r="L65" i="1" s="1"/>
  <c r="O64" i="1"/>
  <c r="M64" i="1"/>
  <c r="L64" i="1"/>
  <c r="K64" i="1"/>
  <c r="F64" i="1"/>
  <c r="F64" i="1" a="1"/>
  <c r="O63" i="1"/>
  <c r="K63" i="1"/>
  <c r="M63" i="1" s="1"/>
  <c r="F63" i="1" a="1"/>
  <c r="F63" i="1" s="1"/>
  <c r="L63" i="1" s="1"/>
  <c r="O62" i="1"/>
  <c r="M62" i="1"/>
  <c r="K62" i="1"/>
  <c r="F62" i="1" a="1"/>
  <c r="F62" i="1" s="1"/>
  <c r="L62" i="1" s="1"/>
  <c r="O61" i="1"/>
  <c r="M61" i="1"/>
  <c r="N61" i="1" s="1"/>
  <c r="K61" i="1"/>
  <c r="F61" i="1"/>
  <c r="L61" i="1" s="1"/>
  <c r="F61" i="1" a="1"/>
  <c r="O60" i="1"/>
  <c r="K60" i="1"/>
  <c r="M60" i="1" s="1"/>
  <c r="F60" i="1" a="1"/>
  <c r="F60" i="1" s="1"/>
  <c r="L60" i="1" s="1"/>
  <c r="O59" i="1"/>
  <c r="K59" i="1"/>
  <c r="M59" i="1" s="1"/>
  <c r="F59" i="1" a="1"/>
  <c r="F59" i="1" s="1"/>
  <c r="L59" i="1" s="1"/>
  <c r="O58" i="1"/>
  <c r="M58" i="1"/>
  <c r="K58" i="1"/>
  <c r="F58" i="1" a="1"/>
  <c r="F58" i="1" s="1"/>
  <c r="L58" i="1" s="1"/>
  <c r="O57" i="1"/>
  <c r="K57" i="1"/>
  <c r="M57" i="1" s="1"/>
  <c r="N57" i="1" s="1"/>
  <c r="F57" i="1" a="1"/>
  <c r="F57" i="1" s="1"/>
  <c r="L57" i="1" s="1"/>
  <c r="O56" i="1"/>
  <c r="M56" i="1"/>
  <c r="K56" i="1"/>
  <c r="F56" i="1" a="1"/>
  <c r="F56" i="1" s="1"/>
  <c r="L56" i="1" s="1"/>
  <c r="N56" i="1" s="1"/>
  <c r="O55" i="1"/>
  <c r="K55" i="1"/>
  <c r="M55" i="1" s="1"/>
  <c r="F55" i="1" a="1"/>
  <c r="F55" i="1" s="1"/>
  <c r="L55" i="1" s="1"/>
  <c r="O54" i="1"/>
  <c r="K54" i="1"/>
  <c r="M54" i="1" s="1"/>
  <c r="F54" i="1"/>
  <c r="L54" i="1" s="1"/>
  <c r="F54" i="1" a="1"/>
  <c r="O53" i="1"/>
  <c r="K53" i="1"/>
  <c r="M53" i="1" s="1"/>
  <c r="F53" i="1" a="1"/>
  <c r="F53" i="1" s="1"/>
  <c r="L53" i="1" s="1"/>
  <c r="O52" i="1"/>
  <c r="K52" i="1"/>
  <c r="M52" i="1" s="1"/>
  <c r="F52" i="1"/>
  <c r="L52" i="1" s="1"/>
  <c r="F52" i="1" a="1"/>
  <c r="O51" i="1"/>
  <c r="M51" i="1"/>
  <c r="N51" i="1" s="1"/>
  <c r="L51" i="1"/>
  <c r="K51" i="1"/>
  <c r="F51" i="1"/>
  <c r="F51" i="1" a="1"/>
  <c r="O50" i="1"/>
  <c r="K50" i="1"/>
  <c r="M50" i="1" s="1"/>
  <c r="F50" i="1" a="1"/>
  <c r="F50" i="1" s="1"/>
  <c r="L50" i="1" s="1"/>
  <c r="O49" i="1"/>
  <c r="M49" i="1"/>
  <c r="K49" i="1"/>
  <c r="F49" i="1" a="1"/>
  <c r="F49" i="1" s="1"/>
  <c r="L49" i="1" s="1"/>
  <c r="O48" i="1"/>
  <c r="K48" i="1"/>
  <c r="M48" i="1" s="1"/>
  <c r="F48" i="1" a="1"/>
  <c r="F48" i="1" s="1"/>
  <c r="L48" i="1" s="1"/>
  <c r="O47" i="1"/>
  <c r="K47" i="1"/>
  <c r="M47" i="1" s="1"/>
  <c r="N47" i="1" s="1"/>
  <c r="F47" i="1" a="1"/>
  <c r="F47" i="1" s="1"/>
  <c r="L47" i="1" s="1"/>
  <c r="O46" i="1"/>
  <c r="M46" i="1"/>
  <c r="L46" i="1"/>
  <c r="K46" i="1"/>
  <c r="F46" i="1"/>
  <c r="F46" i="1" a="1"/>
  <c r="O45" i="1"/>
  <c r="K45" i="1"/>
  <c r="M45" i="1" s="1"/>
  <c r="F45" i="1" a="1"/>
  <c r="F45" i="1" s="1"/>
  <c r="L45" i="1" s="1"/>
  <c r="O44" i="1"/>
  <c r="M44" i="1"/>
  <c r="K44" i="1"/>
  <c r="F44" i="1" a="1"/>
  <c r="F44" i="1" s="1"/>
  <c r="L44" i="1" s="1"/>
  <c r="O43" i="1"/>
  <c r="M43" i="1"/>
  <c r="N43" i="1" s="1"/>
  <c r="K43" i="1"/>
  <c r="F43" i="1"/>
  <c r="L43" i="1" s="1"/>
  <c r="F43" i="1" a="1"/>
  <c r="O42" i="1"/>
  <c r="K42" i="1"/>
  <c r="M42" i="1" s="1"/>
  <c r="F42" i="1" a="1"/>
  <c r="F42" i="1" s="1"/>
  <c r="L42" i="1" s="1"/>
  <c r="O41" i="1"/>
  <c r="K41" i="1"/>
  <c r="M41" i="1" s="1"/>
  <c r="F41" i="1" a="1"/>
  <c r="F41" i="1" s="1"/>
  <c r="L41" i="1" s="1"/>
  <c r="O40" i="1"/>
  <c r="M40" i="1"/>
  <c r="N40" i="1" s="1"/>
  <c r="K40" i="1"/>
  <c r="F40" i="1" a="1"/>
  <c r="F40" i="1" s="1"/>
  <c r="L40" i="1" s="1"/>
  <c r="O39" i="1"/>
  <c r="K39" i="1"/>
  <c r="M39" i="1" s="1"/>
  <c r="F39" i="1" a="1"/>
  <c r="F39" i="1" s="1"/>
  <c r="L39" i="1" s="1"/>
  <c r="O38" i="1"/>
  <c r="N38" i="1"/>
  <c r="M38" i="1"/>
  <c r="K38" i="1"/>
  <c r="F38" i="1" a="1"/>
  <c r="F38" i="1" s="1"/>
  <c r="L38" i="1" s="1"/>
  <c r="O37" i="1"/>
  <c r="K37" i="1"/>
  <c r="M37" i="1" s="1"/>
  <c r="F37" i="1" a="1"/>
  <c r="F37" i="1" s="1"/>
  <c r="L37" i="1" s="1"/>
  <c r="O36" i="1"/>
  <c r="K36" i="1"/>
  <c r="M36" i="1" s="1"/>
  <c r="F36" i="1"/>
  <c r="L36" i="1" s="1"/>
  <c r="F36" i="1" a="1"/>
  <c r="O35" i="1"/>
  <c r="K35" i="1"/>
  <c r="M35" i="1" s="1"/>
  <c r="F35" i="1" a="1"/>
  <c r="F35" i="1" s="1"/>
  <c r="L35" i="1" s="1"/>
  <c r="O34" i="1"/>
  <c r="K34" i="1"/>
  <c r="M34" i="1" s="1"/>
  <c r="F34" i="1"/>
  <c r="L34" i="1" s="1"/>
  <c r="F34" i="1" a="1"/>
  <c r="O33" i="1"/>
  <c r="M33" i="1"/>
  <c r="N33" i="1" s="1"/>
  <c r="L33" i="1"/>
  <c r="K33" i="1"/>
  <c r="F33" i="1"/>
  <c r="F33" i="1" a="1"/>
  <c r="O32" i="1"/>
  <c r="K32" i="1"/>
  <c r="M32" i="1" s="1"/>
  <c r="F32" i="1" a="1"/>
  <c r="F32" i="1" s="1"/>
  <c r="L32" i="1" s="1"/>
  <c r="O31" i="1"/>
  <c r="M31" i="1"/>
  <c r="N31" i="1" s="1"/>
  <c r="K31" i="1"/>
  <c r="F31" i="1" a="1"/>
  <c r="F31" i="1" s="1"/>
  <c r="L31" i="1" s="1"/>
  <c r="O30" i="1"/>
  <c r="K30" i="1"/>
  <c r="M30" i="1" s="1"/>
  <c r="N30" i="1" s="1"/>
  <c r="F30" i="1" a="1"/>
  <c r="F30" i="1" s="1"/>
  <c r="L30" i="1" s="1"/>
  <c r="O29" i="1"/>
  <c r="K29" i="1"/>
  <c r="M29" i="1" s="1"/>
  <c r="N29" i="1" s="1"/>
  <c r="F29" i="1" a="1"/>
  <c r="F29" i="1" s="1"/>
  <c r="L29" i="1" s="1"/>
  <c r="O28" i="1"/>
  <c r="M28" i="1"/>
  <c r="K28" i="1"/>
  <c r="F28" i="1"/>
  <c r="L28" i="1" s="1"/>
  <c r="F28" i="1" a="1"/>
  <c r="O27" i="1"/>
  <c r="K27" i="1"/>
  <c r="M27" i="1" s="1"/>
  <c r="F27" i="1" a="1"/>
  <c r="F27" i="1" s="1"/>
  <c r="L27" i="1" s="1"/>
  <c r="O26" i="1"/>
  <c r="M26" i="1"/>
  <c r="K26" i="1"/>
  <c r="F26" i="1" a="1"/>
  <c r="F26" i="1" s="1"/>
  <c r="L26" i="1" s="1"/>
  <c r="O25" i="1"/>
  <c r="M25" i="1"/>
  <c r="K25" i="1"/>
  <c r="F25" i="1"/>
  <c r="L25" i="1" s="1"/>
  <c r="F25" i="1" a="1"/>
  <c r="O24" i="1"/>
  <c r="K24" i="1"/>
  <c r="M24" i="1" s="1"/>
  <c r="N24" i="1" s="1"/>
  <c r="F24" i="1" a="1"/>
  <c r="F24" i="1" s="1"/>
  <c r="L24" i="1" s="1"/>
  <c r="O23" i="1"/>
  <c r="K23" i="1"/>
  <c r="M23" i="1" s="1"/>
  <c r="F23" i="1" a="1"/>
  <c r="F23" i="1" s="1"/>
  <c r="L23" i="1" s="1"/>
  <c r="O22" i="1"/>
  <c r="M22" i="1"/>
  <c r="N22" i="1" s="1"/>
  <c r="K22" i="1"/>
  <c r="F22" i="1" a="1"/>
  <c r="F22" i="1" s="1"/>
  <c r="L22" i="1" s="1"/>
  <c r="O21" i="1"/>
  <c r="K21" i="1"/>
  <c r="M21" i="1" s="1"/>
  <c r="F21" i="1" a="1"/>
  <c r="F21" i="1" s="1"/>
  <c r="L21" i="1" s="1"/>
  <c r="O20" i="1"/>
  <c r="N20" i="1"/>
  <c r="M20" i="1"/>
  <c r="L20" i="1"/>
  <c r="K20" i="1"/>
  <c r="F20" i="1" a="1"/>
  <c r="F20" i="1" s="1"/>
  <c r="O19" i="1"/>
  <c r="K19" i="1"/>
  <c r="M19" i="1" s="1"/>
  <c r="F19" i="1" a="1"/>
  <c r="F19" i="1" s="1"/>
  <c r="L19" i="1" s="1"/>
  <c r="O18" i="1"/>
  <c r="K18" i="1"/>
  <c r="M18" i="1" s="1"/>
  <c r="F18" i="1"/>
  <c r="L18" i="1" s="1"/>
  <c r="F18" i="1" a="1"/>
  <c r="O17" i="1"/>
  <c r="K17" i="1"/>
  <c r="M17" i="1" s="1"/>
  <c r="F17" i="1" a="1"/>
  <c r="F17" i="1" s="1"/>
  <c r="L17" i="1" s="1"/>
  <c r="O16" i="1"/>
  <c r="K16" i="1"/>
  <c r="M16" i="1" s="1"/>
  <c r="F16" i="1"/>
  <c r="L16" i="1" s="1"/>
  <c r="F16" i="1" a="1"/>
  <c r="O15" i="1"/>
  <c r="N15" i="1"/>
  <c r="M15" i="1"/>
  <c r="L15" i="1"/>
  <c r="K15" i="1"/>
  <c r="F15" i="1"/>
  <c r="F15" i="1" a="1"/>
  <c r="O14" i="1"/>
  <c r="K14" i="1"/>
  <c r="M14" i="1" s="1"/>
  <c r="F14" i="1" a="1"/>
  <c r="F14" i="1" s="1"/>
  <c r="L14" i="1" s="1"/>
  <c r="O13" i="1"/>
  <c r="M13" i="1"/>
  <c r="K13" i="1"/>
  <c r="F13" i="1" a="1"/>
  <c r="F13" i="1" s="1"/>
  <c r="L13" i="1" s="1"/>
  <c r="O12" i="1"/>
  <c r="K12" i="1"/>
  <c r="M12" i="1" s="1"/>
  <c r="N12" i="1" s="1"/>
  <c r="F12" i="1" a="1"/>
  <c r="F12" i="1" s="1"/>
  <c r="L12" i="1" s="1"/>
  <c r="O11" i="1"/>
  <c r="K11" i="1"/>
  <c r="M11" i="1" s="1"/>
  <c r="F11" i="1" a="1"/>
  <c r="F11" i="1" s="1"/>
  <c r="L11" i="1" s="1"/>
  <c r="O10" i="1"/>
  <c r="M10" i="1"/>
  <c r="K10" i="1"/>
  <c r="F10" i="1"/>
  <c r="L10" i="1" s="1"/>
  <c r="F10" i="1" a="1"/>
  <c r="O9" i="1"/>
  <c r="K9" i="1"/>
  <c r="M9" i="1" s="1"/>
  <c r="N9" i="1" s="1"/>
  <c r="F9" i="1" a="1"/>
  <c r="F9" i="1" s="1"/>
  <c r="L9" i="1" s="1"/>
  <c r="O8" i="1"/>
  <c r="M8" i="1"/>
  <c r="K8" i="1"/>
  <c r="F8" i="1" a="1"/>
  <c r="F8" i="1" s="1"/>
  <c r="L8" i="1" s="1"/>
  <c r="O7" i="1"/>
  <c r="M7" i="1"/>
  <c r="N7" i="1" s="1"/>
  <c r="K7" i="1"/>
  <c r="F7" i="1"/>
  <c r="L7" i="1" s="1"/>
  <c r="F7" i="1" a="1"/>
  <c r="O6" i="1"/>
  <c r="K6" i="1"/>
  <c r="M6" i="1" s="1"/>
  <c r="F6" i="1" a="1"/>
  <c r="F6" i="1" s="1"/>
  <c r="L6" i="1" s="1"/>
  <c r="O5" i="1"/>
  <c r="K5" i="1"/>
  <c r="M5" i="1" s="1"/>
  <c r="F5" i="1" a="1"/>
  <c r="F5" i="1" s="1"/>
  <c r="L5" i="1" s="1"/>
  <c r="O4" i="1"/>
  <c r="M4" i="1"/>
  <c r="K4" i="1"/>
  <c r="F4" i="1" a="1"/>
  <c r="F4" i="1" s="1"/>
  <c r="L4" i="1" s="1"/>
  <c r="O3" i="1"/>
  <c r="K3" i="1"/>
  <c r="M3" i="1" s="1"/>
  <c r="F3" i="1" a="1"/>
  <c r="F3" i="1" s="1"/>
  <c r="L3" i="1" s="1"/>
  <c r="O2" i="1"/>
  <c r="N2" i="1"/>
  <c r="M2" i="1"/>
  <c r="L2" i="1"/>
  <c r="K2" i="1"/>
  <c r="F2" i="1" a="1"/>
  <c r="F2" i="1" s="1"/>
  <c r="N67" i="1" l="1"/>
  <c r="N77" i="1"/>
  <c r="N44" i="1"/>
  <c r="N58" i="1"/>
  <c r="N63" i="1"/>
  <c r="N72" i="1"/>
  <c r="N92" i="1"/>
  <c r="N98" i="1"/>
  <c r="N4" i="1"/>
  <c r="N17" i="1"/>
  <c r="N26" i="1"/>
  <c r="N35" i="1"/>
  <c r="N49" i="1"/>
  <c r="N52" i="1"/>
  <c r="N71" i="1"/>
  <c r="N25" i="1"/>
  <c r="N48" i="1"/>
  <c r="N62" i="1"/>
  <c r="N97" i="1"/>
  <c r="N16" i="1"/>
  <c r="N34" i="1"/>
  <c r="N86" i="1"/>
  <c r="N8" i="1"/>
  <c r="N13" i="1"/>
  <c r="N59" i="1"/>
  <c r="N73" i="1"/>
  <c r="N27" i="1"/>
  <c r="N50" i="1"/>
  <c r="N99" i="1"/>
  <c r="N14" i="1"/>
  <c r="N18" i="1"/>
  <c r="N41" i="1"/>
  <c r="N55" i="1"/>
  <c r="N60" i="1"/>
  <c r="N64" i="1"/>
  <c r="N88" i="1"/>
  <c r="N94" i="1"/>
  <c r="N69" i="1"/>
  <c r="N79" i="1"/>
  <c r="N6" i="1"/>
  <c r="N10" i="1"/>
  <c r="N19" i="1"/>
  <c r="N37" i="1"/>
  <c r="N100" i="1"/>
  <c r="N42" i="1"/>
  <c r="N46" i="1"/>
  <c r="N65" i="1"/>
  <c r="N84" i="1"/>
  <c r="N89" i="1"/>
  <c r="N95" i="1"/>
  <c r="N3" i="1"/>
  <c r="N91" i="1"/>
  <c r="N39" i="1"/>
  <c r="N21" i="1"/>
  <c r="N53" i="1"/>
  <c r="N45" i="1"/>
  <c r="N54" i="1"/>
  <c r="N93" i="1"/>
  <c r="N5" i="1"/>
  <c r="N36" i="1"/>
  <c r="N83" i="1"/>
  <c r="N23" i="1"/>
  <c r="N32" i="1"/>
  <c r="N28" i="1"/>
  <c r="N11" i="1"/>
  <c r="N70" i="1"/>
  <c r="N101" i="1"/>
  <c r="N8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<sst xmlns="http://schemas.openxmlformats.org/spreadsheetml/2006/main" count="515" uniqueCount="179">
  <si>
    <t>po_number</t>
  </si>
  <si>
    <t>item_code</t>
  </si>
  <si>
    <t>item_description</t>
  </si>
  <si>
    <t>vendor_code</t>
  </si>
  <si>
    <t>vendor_name</t>
  </si>
  <si>
    <t>unit_of_measure</t>
  </si>
  <si>
    <t>uebto</t>
  </si>
  <si>
    <t>untto</t>
  </si>
  <si>
    <t>quantity</t>
  </si>
  <si>
    <t>order_price_in_inr</t>
  </si>
  <si>
    <t>Scenario A key</t>
  </si>
  <si>
    <t>scenario B_exception</t>
  </si>
  <si>
    <t>scenario A_Exception</t>
  </si>
  <si>
    <t>Exception Type</t>
  </si>
  <si>
    <t>Tolerance Type</t>
  </si>
  <si>
    <t>PO00000</t>
  </si>
  <si>
    <t>MAT114</t>
  </si>
  <si>
    <t>Item MAT114</t>
  </si>
  <si>
    <t>V010</t>
  </si>
  <si>
    <t>Vendor 10</t>
  </si>
  <si>
    <t>PO00001</t>
  </si>
  <si>
    <t>MAT105</t>
  </si>
  <si>
    <t>Item MAT105</t>
  </si>
  <si>
    <t>V008</t>
  </si>
  <si>
    <t>Vendor 8</t>
  </si>
  <si>
    <t>PO00002</t>
  </si>
  <si>
    <t>MAT108</t>
  </si>
  <si>
    <t>Item MAT108</t>
  </si>
  <si>
    <t>V007</t>
  </si>
  <si>
    <t>Vendor 7</t>
  </si>
  <si>
    <t>PO00003</t>
  </si>
  <si>
    <t>MAT103</t>
  </si>
  <si>
    <t>Item MAT103</t>
  </si>
  <si>
    <t>V003</t>
  </si>
  <si>
    <t>Vendor 3</t>
  </si>
  <si>
    <t>PO00004</t>
  </si>
  <si>
    <t>MAT117</t>
  </si>
  <si>
    <t>Item MAT117</t>
  </si>
  <si>
    <t>V004</t>
  </si>
  <si>
    <t>Vendor 4</t>
  </si>
  <si>
    <t>PO00005</t>
  </si>
  <si>
    <t>PO00006</t>
  </si>
  <si>
    <t>MAT107</t>
  </si>
  <si>
    <t>Item MAT107</t>
  </si>
  <si>
    <t>V006</t>
  </si>
  <si>
    <t>Vendor 6</t>
  </si>
  <si>
    <t>PO00007</t>
  </si>
  <si>
    <t>MAT116</t>
  </si>
  <si>
    <t>Item MAT116</t>
  </si>
  <si>
    <t>PO00008</t>
  </si>
  <si>
    <t>MAT118</t>
  </si>
  <si>
    <t>Item MAT118</t>
  </si>
  <si>
    <t>PO00009</t>
  </si>
  <si>
    <t>MAT102</t>
  </si>
  <si>
    <t>Item MAT102</t>
  </si>
  <si>
    <t>V005</t>
  </si>
  <si>
    <t>Vendor 5</t>
  </si>
  <si>
    <t>PO00010</t>
  </si>
  <si>
    <t>PO00011</t>
  </si>
  <si>
    <t>MAT115</t>
  </si>
  <si>
    <t>Item MAT115</t>
  </si>
  <si>
    <t>PO00012</t>
  </si>
  <si>
    <t>PO00013</t>
  </si>
  <si>
    <t>V012</t>
  </si>
  <si>
    <t>Vendor 12</t>
  </si>
  <si>
    <t>PO00014</t>
  </si>
  <si>
    <t>MAT104</t>
  </si>
  <si>
    <t>Item MAT104</t>
  </si>
  <si>
    <t>PO00015</t>
  </si>
  <si>
    <t>MAT113</t>
  </si>
  <si>
    <t>Item MAT113</t>
  </si>
  <si>
    <t>PO00016</t>
  </si>
  <si>
    <t>PO00017</t>
  </si>
  <si>
    <t>PO00018</t>
  </si>
  <si>
    <t>PO00019</t>
  </si>
  <si>
    <t>MAT106</t>
  </si>
  <si>
    <t>Item MAT106</t>
  </si>
  <si>
    <t>PO00020</t>
  </si>
  <si>
    <t>MAT111</t>
  </si>
  <si>
    <t>Item MAT111</t>
  </si>
  <si>
    <t>PO00021</t>
  </si>
  <si>
    <t>MAT112</t>
  </si>
  <si>
    <t>Item MAT112</t>
  </si>
  <si>
    <t>PO00022</t>
  </si>
  <si>
    <t>PO00023</t>
  </si>
  <si>
    <t>MAT109</t>
  </si>
  <si>
    <t>Item MAT109</t>
  </si>
  <si>
    <t>V002</t>
  </si>
  <si>
    <t>Vendor 2</t>
  </si>
  <si>
    <t>PO00024</t>
  </si>
  <si>
    <t>PO00025</t>
  </si>
  <si>
    <t>MAT101</t>
  </si>
  <si>
    <t>Item MAT101</t>
  </si>
  <si>
    <t>PO00026</t>
  </si>
  <si>
    <t>PO00027</t>
  </si>
  <si>
    <t>V011</t>
  </si>
  <si>
    <t>Vendor 11</t>
  </si>
  <si>
    <t>PO00028</t>
  </si>
  <si>
    <t>PO00029</t>
  </si>
  <si>
    <t>PO00030</t>
  </si>
  <si>
    <t>PO00031</t>
  </si>
  <si>
    <t>V009</t>
  </si>
  <si>
    <t>Vendor 9</t>
  </si>
  <si>
    <t>PO00032</t>
  </si>
  <si>
    <t>V001</t>
  </si>
  <si>
    <t>Vendor 1</t>
  </si>
  <si>
    <t>PO00033</t>
  </si>
  <si>
    <t>PO00034</t>
  </si>
  <si>
    <t>PO00035</t>
  </si>
  <si>
    <t>PO00036</t>
  </si>
  <si>
    <t>MAT119</t>
  </si>
  <si>
    <t>Item MAT119</t>
  </si>
  <si>
    <t>PO00037</t>
  </si>
  <si>
    <t>PO00038</t>
  </si>
  <si>
    <t>PO00039</t>
  </si>
  <si>
    <t>MAT110</t>
  </si>
  <si>
    <t>Item MAT110</t>
  </si>
  <si>
    <t>PO00040</t>
  </si>
  <si>
    <t>PO00041</t>
  </si>
  <si>
    <t>PO00042</t>
  </si>
  <si>
    <t>PO00043</t>
  </si>
  <si>
    <t>PO00044</t>
  </si>
  <si>
    <t>PO00045</t>
  </si>
  <si>
    <t>PO00046</t>
  </si>
  <si>
    <t>PO00047</t>
  </si>
  <si>
    <t>PO00048</t>
  </si>
  <si>
    <t>PO00049</t>
  </si>
  <si>
    <t>PO00050</t>
  </si>
  <si>
    <t>PO00051</t>
  </si>
  <si>
    <t>PO00052</t>
  </si>
  <si>
    <t>PO00053</t>
  </si>
  <si>
    <t>PO00054</t>
  </si>
  <si>
    <t>PO00055</t>
  </si>
  <si>
    <t>PO00056</t>
  </si>
  <si>
    <t>PO00057</t>
  </si>
  <si>
    <t>PO00058</t>
  </si>
  <si>
    <t>PO00059</t>
  </si>
  <si>
    <t>PO00060</t>
  </si>
  <si>
    <t>MAT100</t>
  </si>
  <si>
    <t>Item MAT100</t>
  </si>
  <si>
    <t>PO00061</t>
  </si>
  <si>
    <t>PO00062</t>
  </si>
  <si>
    <t>PO00063</t>
  </si>
  <si>
    <t>PO00064</t>
  </si>
  <si>
    <t>PO00065</t>
  </si>
  <si>
    <t>PO00066</t>
  </si>
  <si>
    <t>PO00067</t>
  </si>
  <si>
    <t>PO00068</t>
  </si>
  <si>
    <t>PO00069</t>
  </si>
  <si>
    <t>PO00070</t>
  </si>
  <si>
    <t>PO00071</t>
  </si>
  <si>
    <t>PO00072</t>
  </si>
  <si>
    <t>PO00073</t>
  </si>
  <si>
    <t>PO00074</t>
  </si>
  <si>
    <t>PO00075</t>
  </si>
  <si>
    <t>PO00076</t>
  </si>
  <si>
    <t>PO00077</t>
  </si>
  <si>
    <t>PO00078</t>
  </si>
  <si>
    <t>PO00079</t>
  </si>
  <si>
    <t>PO00080</t>
  </si>
  <si>
    <t>PO00081</t>
  </si>
  <si>
    <t>PO00082</t>
  </si>
  <si>
    <t>PO00083</t>
  </si>
  <si>
    <t>PO00084</t>
  </si>
  <si>
    <t>PO00085</t>
  </si>
  <si>
    <t>PO00086</t>
  </si>
  <si>
    <t>PO00087</t>
  </si>
  <si>
    <t>PO00088</t>
  </si>
  <si>
    <t>PO00089</t>
  </si>
  <si>
    <t>PO00090</t>
  </si>
  <si>
    <t>PO00091</t>
  </si>
  <si>
    <t>PO00092</t>
  </si>
  <si>
    <t>PO00093</t>
  </si>
  <si>
    <t>PO00094</t>
  </si>
  <si>
    <t>PO00095</t>
  </si>
  <si>
    <t>PO00096</t>
  </si>
  <si>
    <t>PO00097</t>
  </si>
  <si>
    <t>PO00098</t>
  </si>
  <si>
    <t>PO00099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</si>
</sst>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B98A5-172D-41D3-87A1-596316166DBF}">
  <dimension ref="A1:O101"/>
  <sheetViews>
    <sheetView tabSelected="1" workbookViewId="0">
      <selection sqref="A1:O101"/>
    </sheetView>
  </sheetViews>
  <sheetFormatPr defaultRowHeight="14.5" x14ac:dyDescent="0.35"/>
  <cols>
    <col min="1" max="1" width="9.81640625" bestFit="1" customWidth="1"/>
    <col min="2" max="2" width="9.26953125" bestFit="1" customWidth="1"/>
    <col min="3" max="3" width="14.453125" bestFit="1" customWidth="1"/>
    <col min="4" max="4" width="11.08984375" bestFit="1" customWidth="1"/>
    <col min="5" max="5" width="11.6328125" bestFit="1" customWidth="1"/>
    <col min="6" max="6" width="14.26953125" bestFit="1" customWidth="1"/>
    <col min="7" max="7" width="5.453125" bestFit="1" customWidth="1"/>
    <col min="8" max="8" width="5.08984375" bestFit="1" customWidth="1"/>
    <col min="9" max="9" width="7.36328125" bestFit="1" customWidth="1"/>
    <col min="10" max="10" width="15.26953125" bestFit="1" customWidth="1"/>
    <col min="11" max="11" width="16.36328125" bestFit="1" customWidth="1"/>
    <col min="12" max="13" width="18.1796875" bestFit="1" customWidth="1"/>
    <col min="14" max="14" width="12.90625" bestFit="1" customWidth="1"/>
    <col min="15" max="15" width="14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tr" cm="1">
        <f t="array" ref="F2">_xlfn.IFS(
B2="MAT100","PCS",
B2="MAT101","NOS",
B2="MAT102","LTR",
B2="MAT103","SETS",
B2="MAT104","PCS",
B2="MAT105","NOS",
B2="MAT106","KG",
B2="MAT107","LTR",
B2="MAT108","SETS",
B2="MAT109","LTR",
B2="MAT110","PCS",
B2="MAT111","PCS",
B2="MAT112","SETS",
B2="MAT113","LTR",
B2="MAT114","PCS",
B2="MAT115","NOS",
B2="MAT116","KG",
B2="MAT117","PCS",
B2="MAT118","SETS",
B2="MAT119","KG"
)</f>
        <v>PCS</v>
      </c>
      <c r="G2">
        <v>0</v>
      </c>
      <c r="H2">
        <v>0</v>
      </c>
      <c r="I2">
        <v>386</v>
      </c>
      <c r="J2">
        <v>1235</v>
      </c>
      <c r="K2" t="str">
        <f t="shared" ref="K2:K65" si="0">B2&amp;"|"&amp;E2</f>
        <v>MAT114|Vendor 10</v>
      </c>
      <c r="L2" t="str">
        <f>IF(
   OR(F2="PCS",F2="SETS",F2="NOS"),
      IF(G2&lt;&gt;H2,"Exception","No Exception"),
   IF(
      OR(F2="LTR",F2="KG"),
         IF(G2=H2,"Exception","No Exception"),
      "No Exception"
   )
)</f>
        <v>No Exception</v>
      </c>
      <c r="M2" t="str">
        <f>IF(
OR(
K2="MAT105|Vendor 11",
K2="MAT110|Vendor 2",
K2="MAT111|Vendor 5",
K2="MAT114|Vendor 7",
K2="MAT116|Vendor 4",
K2="MAT117|Vendor 4",
K2="MAT119|Vendor 11"
),
"Exception",
"No Exception"
)</f>
        <v>No Exception</v>
      </c>
      <c r="N2" t="str">
        <f>IF(
AND(M2="Exception",L2="Exception"),
"Scenario A + B",
IF(
M2="Exception",
"Scenario A",
IF(
L2="Exception",
"Scenario B",
"No Exception"
)))</f>
        <v>No Exception</v>
      </c>
      <c r="O2" t="str">
        <f>IF(
AND(G2&gt;0,H2&gt;0),
"Over + Under",
IF(
G2&gt;0,
"Over Tolerance",
IF(
H2&gt;0,
"Under Tolerance",
"No Tolerance"
)))</f>
        <v>No Tolerance</v>
      </c>
    </row>
    <row r="3" spans="1:15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tr" cm="1">
        <f t="array" ref="F3">_xlfn.IFS(
B3="MAT100","PCS",
B3="MAT101","NOS",
B3="MAT102","LTR",
B3="MAT103","SETS",
B3="MAT104","PCS",
B3="MAT105","NOS",
B3="MAT106","KG",
B3="MAT107","LTR",
B3="MAT108","SETS",
B3="MAT109","LTR",
B3="MAT110","PCS",
B3="MAT111","PCS",
B3="MAT112","SETS",
B3="MAT113","LTR",
B3="MAT114","PCS",
B3="MAT115","NOS",
B3="MAT116","KG",
B3="MAT117","PCS",
B3="MAT118","SETS",
B3="MAT119","KG"
)</f>
        <v>NOS</v>
      </c>
      <c r="G3">
        <v>0</v>
      </c>
      <c r="H3">
        <v>2</v>
      </c>
      <c r="I3">
        <v>213</v>
      </c>
      <c r="J3">
        <v>2915</v>
      </c>
      <c r="K3" t="str">
        <f t="shared" si="0"/>
        <v>MAT105|Vendor 8</v>
      </c>
      <c r="L3" t="str">
        <f t="shared" ref="L3:L66" si="1">IF(
   OR(F3="PCS",F3="SETS",F3="NOS"),
      IF(G3&lt;&gt;H3,"Exception","No Exception"),
   IF(
      OR(F3="LTR",F3="KG"),
         IF(G3=H3,"Exception","No Exception"),
      "No Exception"
   )
)</f>
        <v>Exception</v>
      </c>
      <c r="M3" t="str">
        <f t="shared" ref="M3:M66" si="2">IF(
OR(
K3="MAT105|Vendor 11",
K3="MAT110|Vendor 2",
K3="MAT111|Vendor 5",
K3="MAT114|Vendor 7",
K3="MAT116|Vendor 4",
K3="MAT117|Vendor 4",
K3="MAT119|Vendor 11"
),
"Exception",
"No Exception"
)</f>
        <v>No Exception</v>
      </c>
      <c r="N3" t="str">
        <f t="shared" ref="N3:N66" si="3">IF(
AND(M3="Exception",L3="Exception"),
"Scenario A + B",
IF(
M3="Exception",
"Scenario A",
IF(
L3="Exception",
"Scenario B",
"No Exception"
)))</f>
        <v>Scenario B</v>
      </c>
      <c r="O3" t="str">
        <f t="shared" ref="O3:O66" si="4">IF(
AND(G3&gt;0,H3&gt;0),
"Over + Under",
IF(
G3&gt;0,
"Over Tolerance",
IF(
H3&gt;0,
"Under Tolerance",
"No Tolerance"
)))</f>
        <v>Under Tolerance</v>
      </c>
    </row>
    <row r="4" spans="1:15" x14ac:dyDescent="0.3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tr" cm="1">
        <f t="array" ref="F4">_xlfn.IFS(
B4="MAT100","PCS",
B4="MAT101","NOS",
B4="MAT102","LTR",
B4="MAT103","SETS",
B4="MAT104","PCS",
B4="MAT105","NOS",
B4="MAT106","KG",
B4="MAT107","LTR",
B4="MAT108","SETS",
B4="MAT109","LTR",
B4="MAT110","PCS",
B4="MAT111","PCS",
B4="MAT112","SETS",
B4="MAT113","LTR",
B4="MAT114","PCS",
B4="MAT115","NOS",
B4="MAT116","KG",
B4="MAT117","PCS",
B4="MAT118","SETS",
B4="MAT119","KG"
)</f>
        <v>SETS</v>
      </c>
      <c r="G4">
        <v>0</v>
      </c>
      <c r="H4">
        <v>0</v>
      </c>
      <c r="I4">
        <v>336</v>
      </c>
      <c r="J4">
        <v>2055</v>
      </c>
      <c r="K4" t="str">
        <f t="shared" si="0"/>
        <v>MAT108|Vendor 7</v>
      </c>
      <c r="L4" t="str">
        <f t="shared" si="1"/>
        <v>No Exception</v>
      </c>
      <c r="M4" t="str">
        <f t="shared" si="2"/>
        <v>No Exception</v>
      </c>
      <c r="N4" t="str">
        <f t="shared" si="3"/>
        <v>No Exception</v>
      </c>
      <c r="O4" t="str">
        <f t="shared" si="4"/>
        <v>No Tolerance</v>
      </c>
    </row>
    <row r="5" spans="1:15" x14ac:dyDescent="0.3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tr" cm="1">
        <f t="array" ref="F5">_xlfn.IFS(
B5="MAT100","PCS",
B5="MAT101","NOS",
B5="MAT102","LTR",
B5="MAT103","SETS",
B5="MAT104","PCS",
B5="MAT105","NOS",
B5="MAT106","KG",
B5="MAT107","LTR",
B5="MAT108","SETS",
B5="MAT109","LTR",
B5="MAT110","PCS",
B5="MAT111","PCS",
B5="MAT112","SETS",
B5="MAT113","LTR",
B5="MAT114","PCS",
B5="MAT115","NOS",
B5="MAT116","KG",
B5="MAT117","PCS",
B5="MAT118","SETS",
B5="MAT119","KG"
)</f>
        <v>SETS</v>
      </c>
      <c r="G5">
        <v>0</v>
      </c>
      <c r="H5">
        <v>0</v>
      </c>
      <c r="I5">
        <v>330</v>
      </c>
      <c r="J5">
        <v>1424</v>
      </c>
      <c r="K5" t="str">
        <f t="shared" si="0"/>
        <v>MAT103|Vendor 3</v>
      </c>
      <c r="L5" t="str">
        <f t="shared" si="1"/>
        <v>No Exception</v>
      </c>
      <c r="M5" t="str">
        <f t="shared" si="2"/>
        <v>No Exception</v>
      </c>
      <c r="N5" t="str">
        <f t="shared" si="3"/>
        <v>No Exception</v>
      </c>
      <c r="O5" t="str">
        <f t="shared" si="4"/>
        <v>No Tolerance</v>
      </c>
    </row>
    <row r="6" spans="1:15" x14ac:dyDescent="0.3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tr" cm="1">
        <f t="array" ref="F6">_xlfn.IFS(
B6="MAT100","PCS",
B6="MAT101","NOS",
B6="MAT102","LTR",
B6="MAT103","SETS",
B6="MAT104","PCS",
B6="MAT105","NOS",
B6="MAT106","KG",
B6="MAT107","LTR",
B6="MAT108","SETS",
B6="MAT109","LTR",
B6="MAT110","PCS",
B6="MAT111","PCS",
B6="MAT112","SETS",
B6="MAT113","LTR",
B6="MAT114","PCS",
B6="MAT115","NOS",
B6="MAT116","KG",
B6="MAT117","PCS",
B6="MAT118","SETS",
B6="MAT119","KG"
)</f>
        <v>PCS</v>
      </c>
      <c r="G6">
        <v>0</v>
      </c>
      <c r="H6">
        <v>5</v>
      </c>
      <c r="I6">
        <v>232</v>
      </c>
      <c r="J6">
        <v>2826</v>
      </c>
      <c r="K6" t="str">
        <f t="shared" si="0"/>
        <v>MAT117|Vendor 4</v>
      </c>
      <c r="L6" t="str">
        <f t="shared" si="1"/>
        <v>Exception</v>
      </c>
      <c r="M6" t="str">
        <f t="shared" si="2"/>
        <v>Exception</v>
      </c>
      <c r="N6" t="str">
        <f t="shared" si="3"/>
        <v>Scenario A + B</v>
      </c>
      <c r="O6" t="str">
        <f t="shared" si="4"/>
        <v>Under Tolerance</v>
      </c>
    </row>
    <row r="7" spans="1:15" x14ac:dyDescent="0.35">
      <c r="A7" t="s">
        <v>40</v>
      </c>
      <c r="B7" t="s">
        <v>36</v>
      </c>
      <c r="C7" t="s">
        <v>37</v>
      </c>
      <c r="D7" t="s">
        <v>38</v>
      </c>
      <c r="E7" t="s">
        <v>39</v>
      </c>
      <c r="F7" t="str" cm="1">
        <f t="array" ref="F7">_xlfn.IFS(
B7="MAT100","PCS",
B7="MAT101","NOS",
B7="MAT102","LTR",
B7="MAT103","SETS",
B7="MAT104","PCS",
B7="MAT105","NOS",
B7="MAT106","KG",
B7="MAT107","LTR",
B7="MAT108","SETS",
B7="MAT109","LTR",
B7="MAT110","PCS",
B7="MAT111","PCS",
B7="MAT112","SETS",
B7="MAT113","LTR",
B7="MAT114","PCS",
B7="MAT115","NOS",
B7="MAT116","KG",
B7="MAT117","PCS",
B7="MAT118","SETS",
B7="MAT119","KG"
)</f>
        <v>PCS</v>
      </c>
      <c r="G7">
        <v>5</v>
      </c>
      <c r="H7">
        <v>0</v>
      </c>
      <c r="I7">
        <v>125</v>
      </c>
      <c r="J7">
        <v>843</v>
      </c>
      <c r="K7" t="str">
        <f t="shared" si="0"/>
        <v>MAT117|Vendor 4</v>
      </c>
      <c r="L7" t="str">
        <f t="shared" si="1"/>
        <v>Exception</v>
      </c>
      <c r="M7" t="str">
        <f t="shared" si="2"/>
        <v>Exception</v>
      </c>
      <c r="N7" t="str">
        <f t="shared" si="3"/>
        <v>Scenario A + B</v>
      </c>
      <c r="O7" t="str">
        <f t="shared" si="4"/>
        <v>Over Tolerance</v>
      </c>
    </row>
    <row r="8" spans="1:15" x14ac:dyDescent="0.3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tr" cm="1">
        <f t="array" ref="F8">_xlfn.IFS(
B8="MAT100","PCS",
B8="MAT101","NOS",
B8="MAT102","LTR",
B8="MAT103","SETS",
B8="MAT104","PCS",
B8="MAT105","NOS",
B8="MAT106","KG",
B8="MAT107","LTR",
B8="MAT108","SETS",
B8="MAT109","LTR",
B8="MAT110","PCS",
B8="MAT111","PCS",
B8="MAT112","SETS",
B8="MAT113","LTR",
B8="MAT114","PCS",
B8="MAT115","NOS",
B8="MAT116","KG",
B8="MAT117","PCS",
B8="MAT118","SETS",
B8="MAT119","KG"
)</f>
        <v>LTR</v>
      </c>
      <c r="G8">
        <v>0</v>
      </c>
      <c r="H8">
        <v>0</v>
      </c>
      <c r="I8">
        <v>133</v>
      </c>
      <c r="J8">
        <v>4766</v>
      </c>
      <c r="K8" t="str">
        <f t="shared" si="0"/>
        <v>MAT107|Vendor 6</v>
      </c>
      <c r="L8" t="str">
        <f t="shared" si="1"/>
        <v>Exception</v>
      </c>
      <c r="M8" t="str">
        <f t="shared" si="2"/>
        <v>No Exception</v>
      </c>
      <c r="N8" t="str">
        <f t="shared" si="3"/>
        <v>Scenario B</v>
      </c>
      <c r="O8" t="str">
        <f t="shared" si="4"/>
        <v>No Tolerance</v>
      </c>
    </row>
    <row r="9" spans="1:15" x14ac:dyDescent="0.35">
      <c r="A9" t="s">
        <v>46</v>
      </c>
      <c r="B9" t="s">
        <v>47</v>
      </c>
      <c r="C9" t="s">
        <v>48</v>
      </c>
      <c r="D9" t="s">
        <v>38</v>
      </c>
      <c r="E9" t="s">
        <v>39</v>
      </c>
      <c r="F9" t="str" cm="1">
        <f t="array" ref="F9">_xlfn.IFS(
B9="MAT100","PCS",
B9="MAT101","NOS",
B9="MAT102","LTR",
B9="MAT103","SETS",
B9="MAT104","PCS",
B9="MAT105","NOS",
B9="MAT106","KG",
B9="MAT107","LTR",
B9="MAT108","SETS",
B9="MAT109","LTR",
B9="MAT110","PCS",
B9="MAT111","PCS",
B9="MAT112","SETS",
B9="MAT113","LTR",
B9="MAT114","PCS",
B9="MAT115","NOS",
B9="MAT116","KG",
B9="MAT117","PCS",
B9="MAT118","SETS",
B9="MAT119","KG"
)</f>
        <v>KG</v>
      </c>
      <c r="G9">
        <v>10</v>
      </c>
      <c r="H9">
        <v>0</v>
      </c>
      <c r="I9">
        <v>193</v>
      </c>
      <c r="J9">
        <v>2313</v>
      </c>
      <c r="K9" t="str">
        <f t="shared" si="0"/>
        <v>MAT116|Vendor 4</v>
      </c>
      <c r="L9" t="str">
        <f t="shared" si="1"/>
        <v>No Exception</v>
      </c>
      <c r="M9" t="str">
        <f t="shared" si="2"/>
        <v>Exception</v>
      </c>
      <c r="N9" t="str">
        <f t="shared" si="3"/>
        <v>Scenario A</v>
      </c>
      <c r="O9" t="str">
        <f t="shared" si="4"/>
        <v>Over Tolerance</v>
      </c>
    </row>
    <row r="10" spans="1:15" x14ac:dyDescent="0.35">
      <c r="A10" t="s">
        <v>49</v>
      </c>
      <c r="B10" t="s">
        <v>50</v>
      </c>
      <c r="C10" t="s">
        <v>51</v>
      </c>
      <c r="D10" t="s">
        <v>44</v>
      </c>
      <c r="E10" t="s">
        <v>45</v>
      </c>
      <c r="F10" t="str" cm="1">
        <f t="array" ref="F10">_xlfn.IFS(
B10="MAT100","PCS",
B10="MAT101","NOS",
B10="MAT102","LTR",
B10="MAT103","SETS",
B10="MAT104","PCS",
B10="MAT105","NOS",
B10="MAT106","KG",
B10="MAT107","LTR",
B10="MAT108","SETS",
B10="MAT109","LTR",
B10="MAT110","PCS",
B10="MAT111","PCS",
B10="MAT112","SETS",
B10="MAT113","LTR",
B10="MAT114","PCS",
B10="MAT115","NOS",
B10="MAT116","KG",
B10="MAT117","PCS",
B10="MAT118","SETS",
B10="MAT119","KG"
)</f>
        <v>SETS</v>
      </c>
      <c r="G10">
        <v>0</v>
      </c>
      <c r="H10">
        <v>0</v>
      </c>
      <c r="I10">
        <v>65</v>
      </c>
      <c r="J10">
        <v>4223</v>
      </c>
      <c r="K10" t="str">
        <f t="shared" si="0"/>
        <v>MAT118|Vendor 6</v>
      </c>
      <c r="L10" t="str">
        <f t="shared" si="1"/>
        <v>No Exception</v>
      </c>
      <c r="M10" t="str">
        <f t="shared" si="2"/>
        <v>No Exception</v>
      </c>
      <c r="N10" t="str">
        <f t="shared" si="3"/>
        <v>No Exception</v>
      </c>
      <c r="O10" t="str">
        <f t="shared" si="4"/>
        <v>No Tolerance</v>
      </c>
    </row>
    <row r="11" spans="1:15" x14ac:dyDescent="0.3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tr" cm="1">
        <f t="array" ref="F11">_xlfn.IFS(
B11="MAT100","PCS",
B11="MAT101","NOS",
B11="MAT102","LTR",
B11="MAT103","SETS",
B11="MAT104","PCS",
B11="MAT105","NOS",
B11="MAT106","KG",
B11="MAT107","LTR",
B11="MAT108","SETS",
B11="MAT109","LTR",
B11="MAT110","PCS",
B11="MAT111","PCS",
B11="MAT112","SETS",
B11="MAT113","LTR",
B11="MAT114","PCS",
B11="MAT115","NOS",
B11="MAT116","KG",
B11="MAT117","PCS",
B11="MAT118","SETS",
B11="MAT119","KG"
)</f>
        <v>LTR</v>
      </c>
      <c r="G11">
        <v>10</v>
      </c>
      <c r="H11">
        <v>0</v>
      </c>
      <c r="I11">
        <v>460</v>
      </c>
      <c r="J11">
        <v>2135</v>
      </c>
      <c r="K11" t="str">
        <f t="shared" si="0"/>
        <v>MAT102|Vendor 5</v>
      </c>
      <c r="L11" t="str">
        <f t="shared" si="1"/>
        <v>No Exception</v>
      </c>
      <c r="M11" t="str">
        <f t="shared" si="2"/>
        <v>No Exception</v>
      </c>
      <c r="N11" t="str">
        <f t="shared" si="3"/>
        <v>No Exception</v>
      </c>
      <c r="O11" t="str">
        <f t="shared" si="4"/>
        <v>Over Tolerance</v>
      </c>
    </row>
    <row r="12" spans="1:15" x14ac:dyDescent="0.35">
      <c r="A12" t="s">
        <v>57</v>
      </c>
      <c r="B12" t="s">
        <v>16</v>
      </c>
      <c r="C12" t="s">
        <v>17</v>
      </c>
      <c r="D12" t="s">
        <v>28</v>
      </c>
      <c r="E12" t="s">
        <v>29</v>
      </c>
      <c r="F12" t="str" cm="1">
        <f t="array" ref="F12">_xlfn.IFS(
B12="MAT100","PCS",
B12="MAT101","NOS",
B12="MAT102","LTR",
B12="MAT103","SETS",
B12="MAT104","PCS",
B12="MAT105","NOS",
B12="MAT106","KG",
B12="MAT107","LTR",
B12="MAT108","SETS",
B12="MAT109","LTR",
B12="MAT110","PCS",
B12="MAT111","PCS",
B12="MAT112","SETS",
B12="MAT113","LTR",
B12="MAT114","PCS",
B12="MAT115","NOS",
B12="MAT116","KG",
B12="MAT117","PCS",
B12="MAT118","SETS",
B12="MAT119","KG"
)</f>
        <v>PCS</v>
      </c>
      <c r="G12">
        <v>5</v>
      </c>
      <c r="H12">
        <v>5</v>
      </c>
      <c r="I12">
        <v>489</v>
      </c>
      <c r="J12">
        <v>2656</v>
      </c>
      <c r="K12" t="str">
        <f t="shared" si="0"/>
        <v>MAT114|Vendor 7</v>
      </c>
      <c r="L12" t="str">
        <f t="shared" si="1"/>
        <v>No Exception</v>
      </c>
      <c r="M12" t="str">
        <f t="shared" si="2"/>
        <v>Exception</v>
      </c>
      <c r="N12" t="str">
        <f t="shared" si="3"/>
        <v>Scenario A</v>
      </c>
      <c r="O12" t="str">
        <f t="shared" si="4"/>
        <v>Over + Under</v>
      </c>
    </row>
    <row r="13" spans="1:15" x14ac:dyDescent="0.35">
      <c r="A13" t="s">
        <v>58</v>
      </c>
      <c r="B13" t="s">
        <v>59</v>
      </c>
      <c r="C13" t="s">
        <v>60</v>
      </c>
      <c r="D13" t="s">
        <v>18</v>
      </c>
      <c r="E13" t="s">
        <v>19</v>
      </c>
      <c r="F13" t="str" cm="1">
        <f t="array" ref="F13">_xlfn.IFS(
B13="MAT100","PCS",
B13="MAT101","NOS",
B13="MAT102","LTR",
B13="MAT103","SETS",
B13="MAT104","PCS",
B13="MAT105","NOS",
B13="MAT106","KG",
B13="MAT107","LTR",
B13="MAT108","SETS",
B13="MAT109","LTR",
B13="MAT110","PCS",
B13="MAT111","PCS",
B13="MAT112","SETS",
B13="MAT113","LTR",
B13="MAT114","PCS",
B13="MAT115","NOS",
B13="MAT116","KG",
B13="MAT117","PCS",
B13="MAT118","SETS",
B13="MAT119","KG"
)</f>
        <v>NOS</v>
      </c>
      <c r="G13">
        <v>0</v>
      </c>
      <c r="H13">
        <v>0</v>
      </c>
      <c r="I13">
        <v>251</v>
      </c>
      <c r="J13">
        <v>101</v>
      </c>
      <c r="K13" t="str">
        <f t="shared" si="0"/>
        <v>MAT115|Vendor 10</v>
      </c>
      <c r="L13" t="str">
        <f t="shared" si="1"/>
        <v>No Exception</v>
      </c>
      <c r="M13" t="str">
        <f t="shared" si="2"/>
        <v>No Exception</v>
      </c>
      <c r="N13" t="str">
        <f t="shared" si="3"/>
        <v>No Exception</v>
      </c>
      <c r="O13" t="str">
        <f t="shared" si="4"/>
        <v>No Tolerance</v>
      </c>
    </row>
    <row r="14" spans="1:15" x14ac:dyDescent="0.35">
      <c r="A14" t="s">
        <v>61</v>
      </c>
      <c r="B14" t="s">
        <v>16</v>
      </c>
      <c r="C14" t="s">
        <v>17</v>
      </c>
      <c r="D14" t="s">
        <v>38</v>
      </c>
      <c r="E14" t="s">
        <v>39</v>
      </c>
      <c r="F14" t="str" cm="1">
        <f t="array" ref="F14">_xlfn.IFS(
B14="MAT100","PCS",
B14="MAT101","NOS",
B14="MAT102","LTR",
B14="MAT103","SETS",
B14="MAT104","PCS",
B14="MAT105","NOS",
B14="MAT106","KG",
B14="MAT107","LTR",
B14="MAT108","SETS",
B14="MAT109","LTR",
B14="MAT110","PCS",
B14="MAT111","PCS",
B14="MAT112","SETS",
B14="MAT113","LTR",
B14="MAT114","PCS",
B14="MAT115","NOS",
B14="MAT116","KG",
B14="MAT117","PCS",
B14="MAT118","SETS",
B14="MAT119","KG"
)</f>
        <v>PCS</v>
      </c>
      <c r="G14">
        <v>0</v>
      </c>
      <c r="H14">
        <v>5</v>
      </c>
      <c r="I14">
        <v>401</v>
      </c>
      <c r="J14">
        <v>993</v>
      </c>
      <c r="K14" t="str">
        <f t="shared" si="0"/>
        <v>MAT114|Vendor 4</v>
      </c>
      <c r="L14" t="str">
        <f t="shared" si="1"/>
        <v>Exception</v>
      </c>
      <c r="M14" t="str">
        <f t="shared" si="2"/>
        <v>No Exception</v>
      </c>
      <c r="N14" t="str">
        <f t="shared" si="3"/>
        <v>Scenario B</v>
      </c>
      <c r="O14" t="str">
        <f t="shared" si="4"/>
        <v>Under Tolerance</v>
      </c>
    </row>
    <row r="15" spans="1:15" x14ac:dyDescent="0.35">
      <c r="A15" t="s">
        <v>62</v>
      </c>
      <c r="B15" t="s">
        <v>31</v>
      </c>
      <c r="C15" t="s">
        <v>32</v>
      </c>
      <c r="D15" t="s">
        <v>63</v>
      </c>
      <c r="E15" t="s">
        <v>64</v>
      </c>
      <c r="F15" t="str" cm="1">
        <f t="array" ref="F15">_xlfn.IFS(
B15="MAT100","PCS",
B15="MAT101","NOS",
B15="MAT102","LTR",
B15="MAT103","SETS",
B15="MAT104","PCS",
B15="MAT105","NOS",
B15="MAT106","KG",
B15="MAT107","LTR",
B15="MAT108","SETS",
B15="MAT109","LTR",
B15="MAT110","PCS",
B15="MAT111","PCS",
B15="MAT112","SETS",
B15="MAT113","LTR",
B15="MAT114","PCS",
B15="MAT115","NOS",
B15="MAT116","KG",
B15="MAT117","PCS",
B15="MAT118","SETS",
B15="MAT119","KG"
)</f>
        <v>SETS</v>
      </c>
      <c r="G15">
        <v>0</v>
      </c>
      <c r="H15">
        <v>0</v>
      </c>
      <c r="I15">
        <v>359</v>
      </c>
      <c r="J15">
        <v>3846</v>
      </c>
      <c r="K15" t="str">
        <f t="shared" si="0"/>
        <v>MAT103|Vendor 12</v>
      </c>
      <c r="L15" t="str">
        <f t="shared" si="1"/>
        <v>No Exception</v>
      </c>
      <c r="M15" t="str">
        <f t="shared" si="2"/>
        <v>No Exception</v>
      </c>
      <c r="N15" t="str">
        <f t="shared" si="3"/>
        <v>No Exception</v>
      </c>
      <c r="O15" t="str">
        <f t="shared" si="4"/>
        <v>No Tolerance</v>
      </c>
    </row>
    <row r="16" spans="1:15" x14ac:dyDescent="0.35">
      <c r="A16" t="s">
        <v>65</v>
      </c>
      <c r="B16" t="s">
        <v>66</v>
      </c>
      <c r="C16" t="s">
        <v>67</v>
      </c>
      <c r="D16" t="s">
        <v>38</v>
      </c>
      <c r="E16" t="s">
        <v>39</v>
      </c>
      <c r="F16" t="str" cm="1">
        <f t="array" ref="F16">_xlfn.IFS(
B16="MAT100","PCS",
B16="MAT101","NOS",
B16="MAT102","LTR",
B16="MAT103","SETS",
B16="MAT104","PCS",
B16="MAT105","NOS",
B16="MAT106","KG",
B16="MAT107","LTR",
B16="MAT108","SETS",
B16="MAT109","LTR",
B16="MAT110","PCS",
B16="MAT111","PCS",
B16="MAT112","SETS",
B16="MAT113","LTR",
B16="MAT114","PCS",
B16="MAT115","NOS",
B16="MAT116","KG",
B16="MAT117","PCS",
B16="MAT118","SETS",
B16="MAT119","KG"
)</f>
        <v>PCS</v>
      </c>
      <c r="G16">
        <v>0</v>
      </c>
      <c r="H16">
        <v>0</v>
      </c>
      <c r="I16">
        <v>292</v>
      </c>
      <c r="J16">
        <v>407</v>
      </c>
      <c r="K16" t="str">
        <f t="shared" si="0"/>
        <v>MAT104|Vendor 4</v>
      </c>
      <c r="L16" t="str">
        <f t="shared" si="1"/>
        <v>No Exception</v>
      </c>
      <c r="M16" t="str">
        <f t="shared" si="2"/>
        <v>No Exception</v>
      </c>
      <c r="N16" t="str">
        <f t="shared" si="3"/>
        <v>No Exception</v>
      </c>
      <c r="O16" t="str">
        <f t="shared" si="4"/>
        <v>No Tolerance</v>
      </c>
    </row>
    <row r="17" spans="1:15" x14ac:dyDescent="0.35">
      <c r="A17" t="s">
        <v>68</v>
      </c>
      <c r="B17" t="s">
        <v>69</v>
      </c>
      <c r="C17" t="s">
        <v>70</v>
      </c>
      <c r="D17" t="s">
        <v>63</v>
      </c>
      <c r="E17" t="s">
        <v>64</v>
      </c>
      <c r="F17" t="str" cm="1">
        <f t="array" ref="F17">_xlfn.IFS(
B17="MAT100","PCS",
B17="MAT101","NOS",
B17="MAT102","LTR",
B17="MAT103","SETS",
B17="MAT104","PCS",
B17="MAT105","NOS",
B17="MAT106","KG",
B17="MAT107","LTR",
B17="MAT108","SETS",
B17="MAT109","LTR",
B17="MAT110","PCS",
B17="MAT111","PCS",
B17="MAT112","SETS",
B17="MAT113","LTR",
B17="MAT114","PCS",
B17="MAT115","NOS",
B17="MAT116","KG",
B17="MAT117","PCS",
B17="MAT118","SETS",
B17="MAT119","KG"
)</f>
        <v>LTR</v>
      </c>
      <c r="G17">
        <v>10</v>
      </c>
      <c r="H17">
        <v>0</v>
      </c>
      <c r="I17">
        <v>392</v>
      </c>
      <c r="J17">
        <v>1018</v>
      </c>
      <c r="K17" t="str">
        <f t="shared" si="0"/>
        <v>MAT113|Vendor 12</v>
      </c>
      <c r="L17" t="str">
        <f t="shared" si="1"/>
        <v>No Exception</v>
      </c>
      <c r="M17" t="str">
        <f t="shared" si="2"/>
        <v>No Exception</v>
      </c>
      <c r="N17" t="str">
        <f t="shared" si="3"/>
        <v>No Exception</v>
      </c>
      <c r="O17" t="str">
        <f t="shared" si="4"/>
        <v>Over Tolerance</v>
      </c>
    </row>
    <row r="18" spans="1:15" x14ac:dyDescent="0.35">
      <c r="A18" t="s">
        <v>71</v>
      </c>
      <c r="B18" t="s">
        <v>50</v>
      </c>
      <c r="C18" t="s">
        <v>51</v>
      </c>
      <c r="D18" t="s">
        <v>38</v>
      </c>
      <c r="E18" t="s">
        <v>39</v>
      </c>
      <c r="F18" t="str" cm="1">
        <f t="array" ref="F18">_xlfn.IFS(
B18="MAT100","PCS",
B18="MAT101","NOS",
B18="MAT102","LTR",
B18="MAT103","SETS",
B18="MAT104","PCS",
B18="MAT105","NOS",
B18="MAT106","KG",
B18="MAT107","LTR",
B18="MAT108","SETS",
B18="MAT109","LTR",
B18="MAT110","PCS",
B18="MAT111","PCS",
B18="MAT112","SETS",
B18="MAT113","LTR",
B18="MAT114","PCS",
B18="MAT115","NOS",
B18="MAT116","KG",
B18="MAT117","PCS",
B18="MAT118","SETS",
B18="MAT119","KG"
)</f>
        <v>SETS</v>
      </c>
      <c r="G18">
        <v>0</v>
      </c>
      <c r="H18">
        <v>0</v>
      </c>
      <c r="I18">
        <v>199</v>
      </c>
      <c r="J18">
        <v>2237</v>
      </c>
      <c r="K18" t="str">
        <f t="shared" si="0"/>
        <v>MAT118|Vendor 4</v>
      </c>
      <c r="L18" t="str">
        <f t="shared" si="1"/>
        <v>No Exception</v>
      </c>
      <c r="M18" t="str">
        <f t="shared" si="2"/>
        <v>No Exception</v>
      </c>
      <c r="N18" t="str">
        <f t="shared" si="3"/>
        <v>No Exception</v>
      </c>
      <c r="O18" t="str">
        <f t="shared" si="4"/>
        <v>No Tolerance</v>
      </c>
    </row>
    <row r="19" spans="1:15" x14ac:dyDescent="0.35">
      <c r="A19" t="s">
        <v>72</v>
      </c>
      <c r="B19" t="s">
        <v>36</v>
      </c>
      <c r="C19" t="s">
        <v>37</v>
      </c>
      <c r="D19" t="s">
        <v>55</v>
      </c>
      <c r="E19" t="s">
        <v>56</v>
      </c>
      <c r="F19" t="str" cm="1">
        <f t="array" ref="F19">_xlfn.IFS(
B19="MAT100","PCS",
B19="MAT101","NOS",
B19="MAT102","LTR",
B19="MAT103","SETS",
B19="MAT104","PCS",
B19="MAT105","NOS",
B19="MAT106","KG",
B19="MAT107","LTR",
B19="MAT108","SETS",
B19="MAT109","LTR",
B19="MAT110","PCS",
B19="MAT111","PCS",
B19="MAT112","SETS",
B19="MAT113","LTR",
B19="MAT114","PCS",
B19="MAT115","NOS",
B19="MAT116","KG",
B19="MAT117","PCS",
B19="MAT118","SETS",
B19="MAT119","KG"
)</f>
        <v>PCS</v>
      </c>
      <c r="G19">
        <v>0</v>
      </c>
      <c r="H19">
        <v>0</v>
      </c>
      <c r="I19">
        <v>236</v>
      </c>
      <c r="J19">
        <v>2382</v>
      </c>
      <c r="K19" t="str">
        <f t="shared" si="0"/>
        <v>MAT117|Vendor 5</v>
      </c>
      <c r="L19" t="str">
        <f t="shared" si="1"/>
        <v>No Exception</v>
      </c>
      <c r="M19" t="str">
        <f t="shared" si="2"/>
        <v>No Exception</v>
      </c>
      <c r="N19" t="str">
        <f t="shared" si="3"/>
        <v>No Exception</v>
      </c>
      <c r="O19" t="str">
        <f t="shared" si="4"/>
        <v>No Tolerance</v>
      </c>
    </row>
    <row r="20" spans="1:15" x14ac:dyDescent="0.35">
      <c r="A20" t="s">
        <v>73</v>
      </c>
      <c r="B20" t="s">
        <v>47</v>
      </c>
      <c r="C20" t="s">
        <v>48</v>
      </c>
      <c r="D20" t="s">
        <v>38</v>
      </c>
      <c r="E20" t="s">
        <v>39</v>
      </c>
      <c r="F20" t="str" cm="1">
        <f t="array" ref="F20">_xlfn.IFS(
B20="MAT100","PCS",
B20="MAT101","NOS",
B20="MAT102","LTR",
B20="MAT103","SETS",
B20="MAT104","PCS",
B20="MAT105","NOS",
B20="MAT106","KG",
B20="MAT107","LTR",
B20="MAT108","SETS",
B20="MAT109","LTR",
B20="MAT110","PCS",
B20="MAT111","PCS",
B20="MAT112","SETS",
B20="MAT113","LTR",
B20="MAT114","PCS",
B20="MAT115","NOS",
B20="MAT116","KG",
B20="MAT117","PCS",
B20="MAT118","SETS",
B20="MAT119","KG"
)</f>
        <v>KG</v>
      </c>
      <c r="G20">
        <v>0</v>
      </c>
      <c r="H20">
        <v>5</v>
      </c>
      <c r="I20">
        <v>281</v>
      </c>
      <c r="J20">
        <v>2123</v>
      </c>
      <c r="K20" t="str">
        <f t="shared" si="0"/>
        <v>MAT116|Vendor 4</v>
      </c>
      <c r="L20" t="str">
        <f t="shared" si="1"/>
        <v>No Exception</v>
      </c>
      <c r="M20" t="str">
        <f t="shared" si="2"/>
        <v>Exception</v>
      </c>
      <c r="N20" t="str">
        <f t="shared" si="3"/>
        <v>Scenario A</v>
      </c>
      <c r="O20" t="str">
        <f t="shared" si="4"/>
        <v>Under Tolerance</v>
      </c>
    </row>
    <row r="21" spans="1:15" x14ac:dyDescent="0.35">
      <c r="A21" t="s">
        <v>74</v>
      </c>
      <c r="B21" t="s">
        <v>75</v>
      </c>
      <c r="C21" t="s">
        <v>76</v>
      </c>
      <c r="D21" t="s">
        <v>23</v>
      </c>
      <c r="E21" t="s">
        <v>24</v>
      </c>
      <c r="F21" t="str" cm="1">
        <f t="array" ref="F21">_xlfn.IFS(
B21="MAT100","PCS",
B21="MAT101","NOS",
B21="MAT102","LTR",
B21="MAT103","SETS",
B21="MAT104","PCS",
B21="MAT105","NOS",
B21="MAT106","KG",
B21="MAT107","LTR",
B21="MAT108","SETS",
B21="MAT109","LTR",
B21="MAT110","PCS",
B21="MAT111","PCS",
B21="MAT112","SETS",
B21="MAT113","LTR",
B21="MAT114","PCS",
B21="MAT115","NOS",
B21="MAT116","KG",
B21="MAT117","PCS",
B21="MAT118","SETS",
B21="MAT119","KG"
)</f>
        <v>KG</v>
      </c>
      <c r="G21">
        <v>10</v>
      </c>
      <c r="H21">
        <v>0</v>
      </c>
      <c r="I21">
        <v>454</v>
      </c>
      <c r="J21">
        <v>3540</v>
      </c>
      <c r="K21" t="str">
        <f t="shared" si="0"/>
        <v>MAT106|Vendor 8</v>
      </c>
      <c r="L21" t="str">
        <f t="shared" si="1"/>
        <v>No Exception</v>
      </c>
      <c r="M21" t="str">
        <f t="shared" si="2"/>
        <v>No Exception</v>
      </c>
      <c r="N21" t="str">
        <f t="shared" si="3"/>
        <v>No Exception</v>
      </c>
      <c r="O21" t="str">
        <f t="shared" si="4"/>
        <v>Over Tolerance</v>
      </c>
    </row>
    <row r="22" spans="1:15" x14ac:dyDescent="0.35">
      <c r="A22" t="s">
        <v>77</v>
      </c>
      <c r="B22" t="s">
        <v>78</v>
      </c>
      <c r="C22" t="s">
        <v>79</v>
      </c>
      <c r="D22" t="s">
        <v>38</v>
      </c>
      <c r="E22" t="s">
        <v>39</v>
      </c>
      <c r="F22" t="str" cm="1">
        <f t="array" ref="F22">_xlfn.IFS(
B22="MAT100","PCS",
B22="MAT101","NOS",
B22="MAT102","LTR",
B22="MAT103","SETS",
B22="MAT104","PCS",
B22="MAT105","NOS",
B22="MAT106","KG",
B22="MAT107","LTR",
B22="MAT108","SETS",
B22="MAT109","LTR",
B22="MAT110","PCS",
B22="MAT111","PCS",
B22="MAT112","SETS",
B22="MAT113","LTR",
B22="MAT114","PCS",
B22="MAT115","NOS",
B22="MAT116","KG",
B22="MAT117","PCS",
B22="MAT118","SETS",
B22="MAT119","KG"
)</f>
        <v>PCS</v>
      </c>
      <c r="G22">
        <v>0</v>
      </c>
      <c r="H22">
        <v>0</v>
      </c>
      <c r="I22">
        <v>253</v>
      </c>
      <c r="J22">
        <v>379</v>
      </c>
      <c r="K22" t="str">
        <f t="shared" si="0"/>
        <v>MAT111|Vendor 4</v>
      </c>
      <c r="L22" t="str">
        <f t="shared" si="1"/>
        <v>No Exception</v>
      </c>
      <c r="M22" t="str">
        <f t="shared" si="2"/>
        <v>No Exception</v>
      </c>
      <c r="N22" t="str">
        <f t="shared" si="3"/>
        <v>No Exception</v>
      </c>
      <c r="O22" t="str">
        <f t="shared" si="4"/>
        <v>No Tolerance</v>
      </c>
    </row>
    <row r="23" spans="1:15" x14ac:dyDescent="0.35">
      <c r="A23" t="s">
        <v>80</v>
      </c>
      <c r="B23" t="s">
        <v>81</v>
      </c>
      <c r="C23" t="s">
        <v>82</v>
      </c>
      <c r="D23" t="s">
        <v>38</v>
      </c>
      <c r="E23" t="s">
        <v>39</v>
      </c>
      <c r="F23" t="str" cm="1">
        <f t="array" ref="F23">_xlfn.IFS(
B23="MAT100","PCS",
B23="MAT101","NOS",
B23="MAT102","LTR",
B23="MAT103","SETS",
B23="MAT104","PCS",
B23="MAT105","NOS",
B23="MAT106","KG",
B23="MAT107","LTR",
B23="MAT108","SETS",
B23="MAT109","LTR",
B23="MAT110","PCS",
B23="MAT111","PCS",
B23="MAT112","SETS",
B23="MAT113","LTR",
B23="MAT114","PCS",
B23="MAT115","NOS",
B23="MAT116","KG",
B23="MAT117","PCS",
B23="MAT118","SETS",
B23="MAT119","KG"
)</f>
        <v>SETS</v>
      </c>
      <c r="G23">
        <v>0</v>
      </c>
      <c r="H23">
        <v>0</v>
      </c>
      <c r="I23">
        <v>4</v>
      </c>
      <c r="J23">
        <v>2492</v>
      </c>
      <c r="K23" t="str">
        <f t="shared" si="0"/>
        <v>MAT112|Vendor 4</v>
      </c>
      <c r="L23" t="str">
        <f t="shared" si="1"/>
        <v>No Exception</v>
      </c>
      <c r="M23" t="str">
        <f t="shared" si="2"/>
        <v>No Exception</v>
      </c>
      <c r="N23" t="str">
        <f t="shared" si="3"/>
        <v>No Exception</v>
      </c>
      <c r="O23" t="str">
        <f t="shared" si="4"/>
        <v>No Tolerance</v>
      </c>
    </row>
    <row r="24" spans="1:15" x14ac:dyDescent="0.35">
      <c r="A24" t="s">
        <v>83</v>
      </c>
      <c r="B24" t="s">
        <v>59</v>
      </c>
      <c r="C24" t="s">
        <v>60</v>
      </c>
      <c r="D24" t="s">
        <v>38</v>
      </c>
      <c r="E24" t="s">
        <v>39</v>
      </c>
      <c r="F24" t="str" cm="1">
        <f t="array" ref="F24">_xlfn.IFS(
B24="MAT100","PCS",
B24="MAT101","NOS",
B24="MAT102","LTR",
B24="MAT103","SETS",
B24="MAT104","PCS",
B24="MAT105","NOS",
B24="MAT106","KG",
B24="MAT107","LTR",
B24="MAT108","SETS",
B24="MAT109","LTR",
B24="MAT110","PCS",
B24="MAT111","PCS",
B24="MAT112","SETS",
B24="MAT113","LTR",
B24="MAT114","PCS",
B24="MAT115","NOS",
B24="MAT116","KG",
B24="MAT117","PCS",
B24="MAT118","SETS",
B24="MAT119","KG"
)</f>
        <v>NOS</v>
      </c>
      <c r="G24">
        <v>0</v>
      </c>
      <c r="H24">
        <v>0</v>
      </c>
      <c r="I24">
        <v>160</v>
      </c>
      <c r="J24">
        <v>1688</v>
      </c>
      <c r="K24" t="str">
        <f t="shared" si="0"/>
        <v>MAT115|Vendor 4</v>
      </c>
      <c r="L24" t="str">
        <f t="shared" si="1"/>
        <v>No Exception</v>
      </c>
      <c r="M24" t="str">
        <f t="shared" si="2"/>
        <v>No Exception</v>
      </c>
      <c r="N24" t="str">
        <f t="shared" si="3"/>
        <v>No Exception</v>
      </c>
      <c r="O24" t="str">
        <f t="shared" si="4"/>
        <v>No Tolerance</v>
      </c>
    </row>
    <row r="25" spans="1:15" x14ac:dyDescent="0.35">
      <c r="A25" t="s">
        <v>84</v>
      </c>
      <c r="B25" t="s">
        <v>85</v>
      </c>
      <c r="C25" t="s">
        <v>86</v>
      </c>
      <c r="D25" t="s">
        <v>87</v>
      </c>
      <c r="E25" t="s">
        <v>88</v>
      </c>
      <c r="F25" t="str" cm="1">
        <f t="array" ref="F25">_xlfn.IFS(
B25="MAT100","PCS",
B25="MAT101","NOS",
B25="MAT102","LTR",
B25="MAT103","SETS",
B25="MAT104","PCS",
B25="MAT105","NOS",
B25="MAT106","KG",
B25="MAT107","LTR",
B25="MAT108","SETS",
B25="MAT109","LTR",
B25="MAT110","PCS",
B25="MAT111","PCS",
B25="MAT112","SETS",
B25="MAT113","LTR",
B25="MAT114","PCS",
B25="MAT115","NOS",
B25="MAT116","KG",
B25="MAT117","PCS",
B25="MAT118","SETS",
B25="MAT119","KG"
)</f>
        <v>LTR</v>
      </c>
      <c r="G25">
        <v>0</v>
      </c>
      <c r="H25">
        <v>0</v>
      </c>
      <c r="I25">
        <v>488</v>
      </c>
      <c r="J25">
        <v>4161</v>
      </c>
      <c r="K25" t="str">
        <f t="shared" si="0"/>
        <v>MAT109|Vendor 2</v>
      </c>
      <c r="L25" t="str">
        <f t="shared" si="1"/>
        <v>Exception</v>
      </c>
      <c r="M25" t="str">
        <f t="shared" si="2"/>
        <v>No Exception</v>
      </c>
      <c r="N25" t="str">
        <f t="shared" si="3"/>
        <v>Scenario B</v>
      </c>
      <c r="O25" t="str">
        <f t="shared" si="4"/>
        <v>No Tolerance</v>
      </c>
    </row>
    <row r="26" spans="1:15" x14ac:dyDescent="0.35">
      <c r="A26" t="s">
        <v>89</v>
      </c>
      <c r="B26" t="s">
        <v>59</v>
      </c>
      <c r="C26" t="s">
        <v>60</v>
      </c>
      <c r="D26" t="s">
        <v>28</v>
      </c>
      <c r="E26" t="s">
        <v>29</v>
      </c>
      <c r="F26" t="str" cm="1">
        <f t="array" ref="F26">_xlfn.IFS(
B26="MAT100","PCS",
B26="MAT101","NOS",
B26="MAT102","LTR",
B26="MAT103","SETS",
B26="MAT104","PCS",
B26="MAT105","NOS",
B26="MAT106","KG",
B26="MAT107","LTR",
B26="MAT108","SETS",
B26="MAT109","LTR",
B26="MAT110","PCS",
B26="MAT111","PCS",
B26="MAT112","SETS",
B26="MAT113","LTR",
B26="MAT114","PCS",
B26="MAT115","NOS",
B26="MAT116","KG",
B26="MAT117","PCS",
B26="MAT118","SETS",
B26="MAT119","KG"
)</f>
        <v>NOS</v>
      </c>
      <c r="G26">
        <v>0</v>
      </c>
      <c r="H26">
        <v>0</v>
      </c>
      <c r="I26">
        <v>467</v>
      </c>
      <c r="J26">
        <v>562</v>
      </c>
      <c r="K26" t="str">
        <f t="shared" si="0"/>
        <v>MAT115|Vendor 7</v>
      </c>
      <c r="L26" t="str">
        <f t="shared" si="1"/>
        <v>No Exception</v>
      </c>
      <c r="M26" t="str">
        <f t="shared" si="2"/>
        <v>No Exception</v>
      </c>
      <c r="N26" t="str">
        <f t="shared" si="3"/>
        <v>No Exception</v>
      </c>
      <c r="O26" t="str">
        <f t="shared" si="4"/>
        <v>No Tolerance</v>
      </c>
    </row>
    <row r="27" spans="1:15" x14ac:dyDescent="0.35">
      <c r="A27" t="s">
        <v>90</v>
      </c>
      <c r="B27" t="s">
        <v>91</v>
      </c>
      <c r="C27" t="s">
        <v>92</v>
      </c>
      <c r="D27" t="s">
        <v>38</v>
      </c>
      <c r="E27" t="s">
        <v>39</v>
      </c>
      <c r="F27" t="str" cm="1">
        <f t="array" ref="F27">_xlfn.IFS(
B27="MAT100","PCS",
B27="MAT101","NOS",
B27="MAT102","LTR",
B27="MAT103","SETS",
B27="MAT104","PCS",
B27="MAT105","NOS",
B27="MAT106","KG",
B27="MAT107","LTR",
B27="MAT108","SETS",
B27="MAT109","LTR",
B27="MAT110","PCS",
B27="MAT111","PCS",
B27="MAT112","SETS",
B27="MAT113","LTR",
B27="MAT114","PCS",
B27="MAT115","NOS",
B27="MAT116","KG",
B27="MAT117","PCS",
B27="MAT118","SETS",
B27="MAT119","KG"
)</f>
        <v>NOS</v>
      </c>
      <c r="G27">
        <v>0</v>
      </c>
      <c r="H27">
        <v>2</v>
      </c>
      <c r="I27">
        <v>13</v>
      </c>
      <c r="J27">
        <v>4983</v>
      </c>
      <c r="K27" t="str">
        <f t="shared" si="0"/>
        <v>MAT101|Vendor 4</v>
      </c>
      <c r="L27" t="str">
        <f t="shared" si="1"/>
        <v>Exception</v>
      </c>
      <c r="M27" t="str">
        <f t="shared" si="2"/>
        <v>No Exception</v>
      </c>
      <c r="N27" t="str">
        <f t="shared" si="3"/>
        <v>Scenario B</v>
      </c>
      <c r="O27" t="str">
        <f t="shared" si="4"/>
        <v>Under Tolerance</v>
      </c>
    </row>
    <row r="28" spans="1:15" x14ac:dyDescent="0.35">
      <c r="A28" t="s">
        <v>93</v>
      </c>
      <c r="B28" t="s">
        <v>21</v>
      </c>
      <c r="C28" t="s">
        <v>22</v>
      </c>
      <c r="D28" t="s">
        <v>28</v>
      </c>
      <c r="E28" t="s">
        <v>29</v>
      </c>
      <c r="F28" t="str" cm="1">
        <f t="array" ref="F28">_xlfn.IFS(
B28="MAT100","PCS",
B28="MAT101","NOS",
B28="MAT102","LTR",
B28="MAT103","SETS",
B28="MAT104","PCS",
B28="MAT105","NOS",
B28="MAT106","KG",
B28="MAT107","LTR",
B28="MAT108","SETS",
B28="MAT109","LTR",
B28="MAT110","PCS",
B28="MAT111","PCS",
B28="MAT112","SETS",
B28="MAT113","LTR",
B28="MAT114","PCS",
B28="MAT115","NOS",
B28="MAT116","KG",
B28="MAT117","PCS",
B28="MAT118","SETS",
B28="MAT119","KG"
)</f>
        <v>NOS</v>
      </c>
      <c r="G28">
        <v>0</v>
      </c>
      <c r="H28">
        <v>0</v>
      </c>
      <c r="I28">
        <v>231</v>
      </c>
      <c r="J28">
        <v>2673</v>
      </c>
      <c r="K28" t="str">
        <f t="shared" si="0"/>
        <v>MAT105|Vendor 7</v>
      </c>
      <c r="L28" t="str">
        <f t="shared" si="1"/>
        <v>No Exception</v>
      </c>
      <c r="M28" t="str">
        <f t="shared" si="2"/>
        <v>No Exception</v>
      </c>
      <c r="N28" t="str">
        <f t="shared" si="3"/>
        <v>No Exception</v>
      </c>
      <c r="O28" t="str">
        <f t="shared" si="4"/>
        <v>No Tolerance</v>
      </c>
    </row>
    <row r="29" spans="1:15" x14ac:dyDescent="0.35">
      <c r="A29" t="s">
        <v>94</v>
      </c>
      <c r="B29" t="s">
        <v>21</v>
      </c>
      <c r="C29" t="s">
        <v>22</v>
      </c>
      <c r="D29" t="s">
        <v>95</v>
      </c>
      <c r="E29" t="s">
        <v>96</v>
      </c>
      <c r="F29" t="str" cm="1">
        <f t="array" ref="F29">_xlfn.IFS(
B29="MAT100","PCS",
B29="MAT101","NOS",
B29="MAT102","LTR",
B29="MAT103","SETS",
B29="MAT104","PCS",
B29="MAT105","NOS",
B29="MAT106","KG",
B29="MAT107","LTR",
B29="MAT108","SETS",
B29="MAT109","LTR",
B29="MAT110","PCS",
B29="MAT111","PCS",
B29="MAT112","SETS",
B29="MAT113","LTR",
B29="MAT114","PCS",
B29="MAT115","NOS",
B29="MAT116","KG",
B29="MAT117","PCS",
B29="MAT118","SETS",
B29="MAT119","KG"
)</f>
        <v>NOS</v>
      </c>
      <c r="G29">
        <v>5</v>
      </c>
      <c r="H29">
        <v>0</v>
      </c>
      <c r="I29">
        <v>480</v>
      </c>
      <c r="J29">
        <v>4399</v>
      </c>
      <c r="K29" t="str">
        <f t="shared" si="0"/>
        <v>MAT105|Vendor 11</v>
      </c>
      <c r="L29" t="str">
        <f t="shared" si="1"/>
        <v>Exception</v>
      </c>
      <c r="M29" t="str">
        <f t="shared" si="2"/>
        <v>Exception</v>
      </c>
      <c r="N29" t="str">
        <f t="shared" si="3"/>
        <v>Scenario A + B</v>
      </c>
      <c r="O29" t="str">
        <f t="shared" si="4"/>
        <v>Over Tolerance</v>
      </c>
    </row>
    <row r="30" spans="1:15" x14ac:dyDescent="0.35">
      <c r="A30" t="s">
        <v>97</v>
      </c>
      <c r="B30" t="s">
        <v>81</v>
      </c>
      <c r="C30" t="s">
        <v>82</v>
      </c>
      <c r="D30" t="s">
        <v>44</v>
      </c>
      <c r="E30" t="s">
        <v>45</v>
      </c>
      <c r="F30" t="str" cm="1">
        <f t="array" ref="F30">_xlfn.IFS(
B30="MAT100","PCS",
B30="MAT101","NOS",
B30="MAT102","LTR",
B30="MAT103","SETS",
B30="MAT104","PCS",
B30="MAT105","NOS",
B30="MAT106","KG",
B30="MAT107","LTR",
B30="MAT108","SETS",
B30="MAT109","LTR",
B30="MAT110","PCS",
B30="MAT111","PCS",
B30="MAT112","SETS",
B30="MAT113","LTR",
B30="MAT114","PCS",
B30="MAT115","NOS",
B30="MAT116","KG",
B30="MAT117","PCS",
B30="MAT118","SETS",
B30="MAT119","KG"
)</f>
        <v>SETS</v>
      </c>
      <c r="G30">
        <v>0</v>
      </c>
      <c r="H30">
        <v>2</v>
      </c>
      <c r="I30">
        <v>170</v>
      </c>
      <c r="J30">
        <v>3724</v>
      </c>
      <c r="K30" t="str">
        <f t="shared" si="0"/>
        <v>MAT112|Vendor 6</v>
      </c>
      <c r="L30" t="str">
        <f t="shared" si="1"/>
        <v>Exception</v>
      </c>
      <c r="M30" t="str">
        <f t="shared" si="2"/>
        <v>No Exception</v>
      </c>
      <c r="N30" t="str">
        <f t="shared" si="3"/>
        <v>Scenario B</v>
      </c>
      <c r="O30" t="str">
        <f t="shared" si="4"/>
        <v>Under Tolerance</v>
      </c>
    </row>
    <row r="31" spans="1:15" x14ac:dyDescent="0.35">
      <c r="A31" t="s">
        <v>98</v>
      </c>
      <c r="B31" t="s">
        <v>53</v>
      </c>
      <c r="C31" t="s">
        <v>54</v>
      </c>
      <c r="D31" t="s">
        <v>44</v>
      </c>
      <c r="E31" t="s">
        <v>45</v>
      </c>
      <c r="F31" t="str" cm="1">
        <f t="array" ref="F31">_xlfn.IFS(
B31="MAT100","PCS",
B31="MAT101","NOS",
B31="MAT102","LTR",
B31="MAT103","SETS",
B31="MAT104","PCS",
B31="MAT105","NOS",
B31="MAT106","KG",
B31="MAT107","LTR",
B31="MAT108","SETS",
B31="MAT109","LTR",
B31="MAT110","PCS",
B31="MAT111","PCS",
B31="MAT112","SETS",
B31="MAT113","LTR",
B31="MAT114","PCS",
B31="MAT115","NOS",
B31="MAT116","KG",
B31="MAT117","PCS",
B31="MAT118","SETS",
B31="MAT119","KG"
)</f>
        <v>LTR</v>
      </c>
      <c r="G31">
        <v>0</v>
      </c>
      <c r="H31">
        <v>0</v>
      </c>
      <c r="I31">
        <v>216</v>
      </c>
      <c r="J31">
        <v>1113</v>
      </c>
      <c r="K31" t="str">
        <f t="shared" si="0"/>
        <v>MAT102|Vendor 6</v>
      </c>
      <c r="L31" t="str">
        <f t="shared" si="1"/>
        <v>Exception</v>
      </c>
      <c r="M31" t="str">
        <f t="shared" si="2"/>
        <v>No Exception</v>
      </c>
      <c r="N31" t="str">
        <f t="shared" si="3"/>
        <v>Scenario B</v>
      </c>
      <c r="O31" t="str">
        <f t="shared" si="4"/>
        <v>No Tolerance</v>
      </c>
    </row>
    <row r="32" spans="1:15" x14ac:dyDescent="0.35">
      <c r="A32" t="s">
        <v>99</v>
      </c>
      <c r="B32" t="s">
        <v>78</v>
      </c>
      <c r="C32" t="s">
        <v>79</v>
      </c>
      <c r="D32" t="s">
        <v>55</v>
      </c>
      <c r="E32" t="s">
        <v>56</v>
      </c>
      <c r="F32" t="str" cm="1">
        <f t="array" ref="F32">_xlfn.IFS(
B32="MAT100","PCS",
B32="MAT101","NOS",
B32="MAT102","LTR",
B32="MAT103","SETS",
B32="MAT104","PCS",
B32="MAT105","NOS",
B32="MAT106","KG",
B32="MAT107","LTR",
B32="MAT108","SETS",
B32="MAT109","LTR",
B32="MAT110","PCS",
B32="MAT111","PCS",
B32="MAT112","SETS",
B32="MAT113","LTR",
B32="MAT114","PCS",
B32="MAT115","NOS",
B32="MAT116","KG",
B32="MAT117","PCS",
B32="MAT118","SETS",
B32="MAT119","KG"
)</f>
        <v>PCS</v>
      </c>
      <c r="G32">
        <v>0</v>
      </c>
      <c r="H32">
        <v>2</v>
      </c>
      <c r="I32">
        <v>421</v>
      </c>
      <c r="J32">
        <v>3642</v>
      </c>
      <c r="K32" t="str">
        <f t="shared" si="0"/>
        <v>MAT111|Vendor 5</v>
      </c>
      <c r="L32" t="str">
        <f t="shared" si="1"/>
        <v>Exception</v>
      </c>
      <c r="M32" t="str">
        <f t="shared" si="2"/>
        <v>Exception</v>
      </c>
      <c r="N32" t="str">
        <f t="shared" si="3"/>
        <v>Scenario A + B</v>
      </c>
      <c r="O32" t="str">
        <f t="shared" si="4"/>
        <v>Under Tolerance</v>
      </c>
    </row>
    <row r="33" spans="1:15" x14ac:dyDescent="0.35">
      <c r="A33" t="s">
        <v>100</v>
      </c>
      <c r="B33" t="s">
        <v>78</v>
      </c>
      <c r="C33" t="s">
        <v>79</v>
      </c>
      <c r="D33" t="s">
        <v>101</v>
      </c>
      <c r="E33" t="s">
        <v>102</v>
      </c>
      <c r="F33" t="str" cm="1">
        <f t="array" ref="F33">_xlfn.IFS(
B33="MAT100","PCS",
B33="MAT101","NOS",
B33="MAT102","LTR",
B33="MAT103","SETS",
B33="MAT104","PCS",
B33="MAT105","NOS",
B33="MAT106","KG",
B33="MAT107","LTR",
B33="MAT108","SETS",
B33="MAT109","LTR",
B33="MAT110","PCS",
B33="MAT111","PCS",
B33="MAT112","SETS",
B33="MAT113","LTR",
B33="MAT114","PCS",
B33="MAT115","NOS",
B33="MAT116","KG",
B33="MAT117","PCS",
B33="MAT118","SETS",
B33="MAT119","KG"
)</f>
        <v>PCS</v>
      </c>
      <c r="G33">
        <v>0</v>
      </c>
      <c r="H33">
        <v>0</v>
      </c>
      <c r="I33">
        <v>471</v>
      </c>
      <c r="J33">
        <v>3756</v>
      </c>
      <c r="K33" t="str">
        <f t="shared" si="0"/>
        <v>MAT111|Vendor 9</v>
      </c>
      <c r="L33" t="str">
        <f t="shared" si="1"/>
        <v>No Exception</v>
      </c>
      <c r="M33" t="str">
        <f t="shared" si="2"/>
        <v>No Exception</v>
      </c>
      <c r="N33" t="str">
        <f t="shared" si="3"/>
        <v>No Exception</v>
      </c>
      <c r="O33" t="str">
        <f t="shared" si="4"/>
        <v>No Tolerance</v>
      </c>
    </row>
    <row r="34" spans="1:15" x14ac:dyDescent="0.35">
      <c r="A34" t="s">
        <v>103</v>
      </c>
      <c r="B34" t="s">
        <v>59</v>
      </c>
      <c r="C34" t="s">
        <v>60</v>
      </c>
      <c r="D34" t="s">
        <v>104</v>
      </c>
      <c r="E34" t="s">
        <v>105</v>
      </c>
      <c r="F34" t="str" cm="1">
        <f t="array" ref="F34">_xlfn.IFS(
B34="MAT100","PCS",
B34="MAT101","NOS",
B34="MAT102","LTR",
B34="MAT103","SETS",
B34="MAT104","PCS",
B34="MAT105","NOS",
B34="MAT106","KG",
B34="MAT107","LTR",
B34="MAT108","SETS",
B34="MAT109","LTR",
B34="MAT110","PCS",
B34="MAT111","PCS",
B34="MAT112","SETS",
B34="MAT113","LTR",
B34="MAT114","PCS",
B34="MAT115","NOS",
B34="MAT116","KG",
B34="MAT117","PCS",
B34="MAT118","SETS",
B34="MAT119","KG"
)</f>
        <v>NOS</v>
      </c>
      <c r="G34">
        <v>0</v>
      </c>
      <c r="H34">
        <v>0</v>
      </c>
      <c r="I34">
        <v>324</v>
      </c>
      <c r="J34">
        <v>3465</v>
      </c>
      <c r="K34" t="str">
        <f t="shared" si="0"/>
        <v>MAT115|Vendor 1</v>
      </c>
      <c r="L34" t="str">
        <f t="shared" si="1"/>
        <v>No Exception</v>
      </c>
      <c r="M34" t="str">
        <f t="shared" si="2"/>
        <v>No Exception</v>
      </c>
      <c r="N34" t="str">
        <f t="shared" si="3"/>
        <v>No Exception</v>
      </c>
      <c r="O34" t="str">
        <f t="shared" si="4"/>
        <v>No Tolerance</v>
      </c>
    </row>
    <row r="35" spans="1:15" x14ac:dyDescent="0.35">
      <c r="A35" t="s">
        <v>106</v>
      </c>
      <c r="B35" t="s">
        <v>91</v>
      </c>
      <c r="C35" t="s">
        <v>92</v>
      </c>
      <c r="D35" t="s">
        <v>28</v>
      </c>
      <c r="E35" t="s">
        <v>29</v>
      </c>
      <c r="F35" t="str" cm="1">
        <f t="array" ref="F35">_xlfn.IFS(
B35="MAT100","PCS",
B35="MAT101","NOS",
B35="MAT102","LTR",
B35="MAT103","SETS",
B35="MAT104","PCS",
B35="MAT105","NOS",
B35="MAT106","KG",
B35="MAT107","LTR",
B35="MAT108","SETS",
B35="MAT109","LTR",
B35="MAT110","PCS",
B35="MAT111","PCS",
B35="MAT112","SETS",
B35="MAT113","LTR",
B35="MAT114","PCS",
B35="MAT115","NOS",
B35="MAT116","KG",
B35="MAT117","PCS",
B35="MAT118","SETS",
B35="MAT119","KG"
)</f>
        <v>NOS</v>
      </c>
      <c r="G35">
        <v>0</v>
      </c>
      <c r="H35">
        <v>0</v>
      </c>
      <c r="I35">
        <v>18</v>
      </c>
      <c r="J35">
        <v>3901</v>
      </c>
      <c r="K35" t="str">
        <f t="shared" si="0"/>
        <v>MAT101|Vendor 7</v>
      </c>
      <c r="L35" t="str">
        <f t="shared" si="1"/>
        <v>No Exception</v>
      </c>
      <c r="M35" t="str">
        <f t="shared" si="2"/>
        <v>No Exception</v>
      </c>
      <c r="N35" t="str">
        <f t="shared" si="3"/>
        <v>No Exception</v>
      </c>
      <c r="O35" t="str">
        <f t="shared" si="4"/>
        <v>No Tolerance</v>
      </c>
    </row>
    <row r="36" spans="1:15" x14ac:dyDescent="0.35">
      <c r="A36" t="s">
        <v>107</v>
      </c>
      <c r="B36" t="s">
        <v>75</v>
      </c>
      <c r="C36" t="s">
        <v>76</v>
      </c>
      <c r="D36" t="s">
        <v>63</v>
      </c>
      <c r="E36" t="s">
        <v>64</v>
      </c>
      <c r="F36" t="str" cm="1">
        <f t="array" ref="F36">_xlfn.IFS(
B36="MAT100","PCS",
B36="MAT101","NOS",
B36="MAT102","LTR",
B36="MAT103","SETS",
B36="MAT104","PCS",
B36="MAT105","NOS",
B36="MAT106","KG",
B36="MAT107","LTR",
B36="MAT108","SETS",
B36="MAT109","LTR",
B36="MAT110","PCS",
B36="MAT111","PCS",
B36="MAT112","SETS",
B36="MAT113","LTR",
B36="MAT114","PCS",
B36="MAT115","NOS",
B36="MAT116","KG",
B36="MAT117","PCS",
B36="MAT118","SETS",
B36="MAT119","KG"
)</f>
        <v>KG</v>
      </c>
      <c r="G36">
        <v>0</v>
      </c>
      <c r="H36">
        <v>0</v>
      </c>
      <c r="I36">
        <v>33</v>
      </c>
      <c r="J36">
        <v>2877</v>
      </c>
      <c r="K36" t="str">
        <f t="shared" si="0"/>
        <v>MAT106|Vendor 12</v>
      </c>
      <c r="L36" t="str">
        <f t="shared" si="1"/>
        <v>Exception</v>
      </c>
      <c r="M36" t="str">
        <f t="shared" si="2"/>
        <v>No Exception</v>
      </c>
      <c r="N36" t="str">
        <f t="shared" si="3"/>
        <v>Scenario B</v>
      </c>
      <c r="O36" t="str">
        <f t="shared" si="4"/>
        <v>No Tolerance</v>
      </c>
    </row>
    <row r="37" spans="1:15" x14ac:dyDescent="0.35">
      <c r="A37" t="s">
        <v>108</v>
      </c>
      <c r="B37" t="s">
        <v>26</v>
      </c>
      <c r="C37" t="s">
        <v>27</v>
      </c>
      <c r="D37" t="s">
        <v>63</v>
      </c>
      <c r="E37" t="s">
        <v>64</v>
      </c>
      <c r="F37" t="str" cm="1">
        <f t="array" ref="F37">_xlfn.IFS(
B37="MAT100","PCS",
B37="MAT101","NOS",
B37="MAT102","LTR",
B37="MAT103","SETS",
B37="MAT104","PCS",
B37="MAT105","NOS",
B37="MAT106","KG",
B37="MAT107","LTR",
B37="MAT108","SETS",
B37="MAT109","LTR",
B37="MAT110","PCS",
B37="MAT111","PCS",
B37="MAT112","SETS",
B37="MAT113","LTR",
B37="MAT114","PCS",
B37="MAT115","NOS",
B37="MAT116","KG",
B37="MAT117","PCS",
B37="MAT118","SETS",
B37="MAT119","KG"
)</f>
        <v>SETS</v>
      </c>
      <c r="G37">
        <v>0</v>
      </c>
      <c r="H37">
        <v>2</v>
      </c>
      <c r="I37">
        <v>367</v>
      </c>
      <c r="J37">
        <v>2692</v>
      </c>
      <c r="K37" t="str">
        <f t="shared" si="0"/>
        <v>MAT108|Vendor 12</v>
      </c>
      <c r="L37" t="str">
        <f t="shared" si="1"/>
        <v>Exception</v>
      </c>
      <c r="M37" t="str">
        <f t="shared" si="2"/>
        <v>No Exception</v>
      </c>
      <c r="N37" t="str">
        <f t="shared" si="3"/>
        <v>Scenario B</v>
      </c>
      <c r="O37" t="str">
        <f t="shared" si="4"/>
        <v>Under Tolerance</v>
      </c>
    </row>
    <row r="38" spans="1:15" x14ac:dyDescent="0.35">
      <c r="A38" t="s">
        <v>109</v>
      </c>
      <c r="B38" t="s">
        <v>110</v>
      </c>
      <c r="C38" t="s">
        <v>111</v>
      </c>
      <c r="D38" t="s">
        <v>95</v>
      </c>
      <c r="E38" t="s">
        <v>96</v>
      </c>
      <c r="F38" t="str" cm="1">
        <f t="array" ref="F38">_xlfn.IFS(
B38="MAT100","PCS",
B38="MAT101","NOS",
B38="MAT102","LTR",
B38="MAT103","SETS",
B38="MAT104","PCS",
B38="MAT105","NOS",
B38="MAT106","KG",
B38="MAT107","LTR",
B38="MAT108","SETS",
B38="MAT109","LTR",
B38="MAT110","PCS",
B38="MAT111","PCS",
B38="MAT112","SETS",
B38="MAT113","LTR",
B38="MAT114","PCS",
B38="MAT115","NOS",
B38="MAT116","KG",
B38="MAT117","PCS",
B38="MAT118","SETS",
B38="MAT119","KG"
)</f>
        <v>KG</v>
      </c>
      <c r="G38">
        <v>5</v>
      </c>
      <c r="H38">
        <v>5</v>
      </c>
      <c r="I38">
        <v>485</v>
      </c>
      <c r="J38">
        <v>635</v>
      </c>
      <c r="K38" t="str">
        <f t="shared" si="0"/>
        <v>MAT119|Vendor 11</v>
      </c>
      <c r="L38" t="str">
        <f t="shared" si="1"/>
        <v>Exception</v>
      </c>
      <c r="M38" t="str">
        <f t="shared" si="2"/>
        <v>Exception</v>
      </c>
      <c r="N38" t="str">
        <f>IF(
AND(M38="Exception",L38="Exception"),
"Scenario A + B",
IF(
M38="Exception",
"Scenario A",
IF(
L38="Exception",
"Scenario B",
"No Exception"
)))</f>
        <v>Scenario A + B</v>
      </c>
      <c r="O38" t="str">
        <f t="shared" si="4"/>
        <v>Over + Under</v>
      </c>
    </row>
    <row r="39" spans="1:15" x14ac:dyDescent="0.35">
      <c r="A39" t="s">
        <v>112</v>
      </c>
      <c r="B39" t="s">
        <v>16</v>
      </c>
      <c r="C39" t="s">
        <v>17</v>
      </c>
      <c r="D39" t="s">
        <v>28</v>
      </c>
      <c r="E39" t="s">
        <v>29</v>
      </c>
      <c r="F39" t="str" cm="1">
        <f t="array" ref="F39">_xlfn.IFS(
B39="MAT100","PCS",
B39="MAT101","NOS",
B39="MAT102","LTR",
B39="MAT103","SETS",
B39="MAT104","PCS",
B39="MAT105","NOS",
B39="MAT106","KG",
B39="MAT107","LTR",
B39="MAT108","SETS",
B39="MAT109","LTR",
B39="MAT110","PCS",
B39="MAT111","PCS",
B39="MAT112","SETS",
B39="MAT113","LTR",
B39="MAT114","PCS",
B39="MAT115","NOS",
B39="MAT116","KG",
B39="MAT117","PCS",
B39="MAT118","SETS",
B39="MAT119","KG"
)</f>
        <v>PCS</v>
      </c>
      <c r="G39">
        <v>0</v>
      </c>
      <c r="H39">
        <v>0</v>
      </c>
      <c r="I39">
        <v>405</v>
      </c>
      <c r="J39">
        <v>2156</v>
      </c>
      <c r="K39" t="str">
        <f t="shared" si="0"/>
        <v>MAT114|Vendor 7</v>
      </c>
      <c r="L39" t="str">
        <f t="shared" si="1"/>
        <v>No Exception</v>
      </c>
      <c r="M39" t="str">
        <f t="shared" si="2"/>
        <v>Exception</v>
      </c>
      <c r="N39" t="str">
        <f t="shared" ref="N39:N101" si="5">IF(
AND(M39="Exception",L39="Exception"),
"Scenario A + B",
IF(
M39="Exception",
"Scenario A",
IF(
L39="Exception",
"Scenario B",
"No Exception"
)))</f>
        <v>Scenario A</v>
      </c>
      <c r="O39" t="str">
        <f t="shared" si="4"/>
        <v>No Tolerance</v>
      </c>
    </row>
    <row r="40" spans="1:15" x14ac:dyDescent="0.35">
      <c r="A40" t="s">
        <v>113</v>
      </c>
      <c r="B40" t="s">
        <v>59</v>
      </c>
      <c r="C40" t="s">
        <v>60</v>
      </c>
      <c r="D40" t="s">
        <v>33</v>
      </c>
      <c r="E40" t="s">
        <v>34</v>
      </c>
      <c r="F40" t="str" cm="1">
        <f t="array" ref="F40">_xlfn.IFS(
B40="MAT100","PCS",
B40="MAT101","NOS",
B40="MAT102","LTR",
B40="MAT103","SETS",
B40="MAT104","PCS",
B40="MAT105","NOS",
B40="MAT106","KG",
B40="MAT107","LTR",
B40="MAT108","SETS",
B40="MAT109","LTR",
B40="MAT110","PCS",
B40="MAT111","PCS",
B40="MAT112","SETS",
B40="MAT113","LTR",
B40="MAT114","PCS",
B40="MAT115","NOS",
B40="MAT116","KG",
B40="MAT117","PCS",
B40="MAT118","SETS",
B40="MAT119","KG"
)</f>
        <v>NOS</v>
      </c>
      <c r="G40">
        <v>5</v>
      </c>
      <c r="H40">
        <v>0</v>
      </c>
      <c r="I40">
        <v>5</v>
      </c>
      <c r="J40">
        <v>2584</v>
      </c>
      <c r="K40" t="str">
        <f t="shared" si="0"/>
        <v>MAT115|Vendor 3</v>
      </c>
      <c r="L40" t="str">
        <f t="shared" si="1"/>
        <v>Exception</v>
      </c>
      <c r="M40" t="str">
        <f t="shared" si="2"/>
        <v>No Exception</v>
      </c>
      <c r="N40" t="str">
        <f t="shared" si="5"/>
        <v>Scenario B</v>
      </c>
      <c r="O40" t="str">
        <f t="shared" si="4"/>
        <v>Over Tolerance</v>
      </c>
    </row>
    <row r="41" spans="1:15" x14ac:dyDescent="0.35">
      <c r="A41" t="s">
        <v>114</v>
      </c>
      <c r="B41" t="s">
        <v>115</v>
      </c>
      <c r="C41" t="s">
        <v>116</v>
      </c>
      <c r="D41" t="s">
        <v>23</v>
      </c>
      <c r="E41" t="s">
        <v>24</v>
      </c>
      <c r="F41" t="str" cm="1">
        <f t="array" ref="F41">_xlfn.IFS(
B41="MAT100","PCS",
B41="MAT101","NOS",
B41="MAT102","LTR",
B41="MAT103","SETS",
B41="MAT104","PCS",
B41="MAT105","NOS",
B41="MAT106","KG",
B41="MAT107","LTR",
B41="MAT108","SETS",
B41="MAT109","LTR",
B41="MAT110","PCS",
B41="MAT111","PCS",
B41="MAT112","SETS",
B41="MAT113","LTR",
B41="MAT114","PCS",
B41="MAT115","NOS",
B41="MAT116","KG",
B41="MAT117","PCS",
B41="MAT118","SETS",
B41="MAT119","KG"
)</f>
        <v>PCS</v>
      </c>
      <c r="G41">
        <v>0</v>
      </c>
      <c r="H41">
        <v>0</v>
      </c>
      <c r="I41">
        <v>186</v>
      </c>
      <c r="J41">
        <v>4980</v>
      </c>
      <c r="K41" t="str">
        <f t="shared" si="0"/>
        <v>MAT110|Vendor 8</v>
      </c>
      <c r="L41" t="str">
        <f t="shared" si="1"/>
        <v>No Exception</v>
      </c>
      <c r="M41" t="str">
        <f t="shared" si="2"/>
        <v>No Exception</v>
      </c>
      <c r="N41" t="str">
        <f t="shared" si="5"/>
        <v>No Exception</v>
      </c>
      <c r="O41" t="str">
        <f t="shared" si="4"/>
        <v>No Tolerance</v>
      </c>
    </row>
    <row r="42" spans="1:15" x14ac:dyDescent="0.35">
      <c r="A42" t="s">
        <v>117</v>
      </c>
      <c r="B42" t="s">
        <v>21</v>
      </c>
      <c r="C42" t="s">
        <v>22</v>
      </c>
      <c r="D42" t="s">
        <v>38</v>
      </c>
      <c r="E42" t="s">
        <v>39</v>
      </c>
      <c r="F42" t="str" cm="1">
        <f t="array" ref="F42">_xlfn.IFS(
B42="MAT100","PCS",
B42="MAT101","NOS",
B42="MAT102","LTR",
B42="MAT103","SETS",
B42="MAT104","PCS",
B42="MAT105","NOS",
B42="MAT106","KG",
B42="MAT107","LTR",
B42="MAT108","SETS",
B42="MAT109","LTR",
B42="MAT110","PCS",
B42="MAT111","PCS",
B42="MAT112","SETS",
B42="MAT113","LTR",
B42="MAT114","PCS",
B42="MAT115","NOS",
B42="MAT116","KG",
B42="MAT117","PCS",
B42="MAT118","SETS",
B42="MAT119","KG"
)</f>
        <v>NOS</v>
      </c>
      <c r="G42">
        <v>0</v>
      </c>
      <c r="H42">
        <v>0</v>
      </c>
      <c r="I42">
        <v>209</v>
      </c>
      <c r="J42">
        <v>630</v>
      </c>
      <c r="K42" t="str">
        <f t="shared" si="0"/>
        <v>MAT105|Vendor 4</v>
      </c>
      <c r="L42" t="str">
        <f t="shared" si="1"/>
        <v>No Exception</v>
      </c>
      <c r="M42" t="str">
        <f t="shared" si="2"/>
        <v>No Exception</v>
      </c>
      <c r="N42" t="str">
        <f t="shared" si="5"/>
        <v>No Exception</v>
      </c>
      <c r="O42" t="str">
        <f t="shared" si="4"/>
        <v>No Tolerance</v>
      </c>
    </row>
    <row r="43" spans="1:15" x14ac:dyDescent="0.35">
      <c r="A43" t="s">
        <v>118</v>
      </c>
      <c r="B43" t="s">
        <v>21</v>
      </c>
      <c r="C43" t="s">
        <v>22</v>
      </c>
      <c r="D43" t="s">
        <v>28</v>
      </c>
      <c r="E43" t="s">
        <v>29</v>
      </c>
      <c r="F43" t="str" cm="1">
        <f t="array" ref="F43">_xlfn.IFS(
B43="MAT100","PCS",
B43="MAT101","NOS",
B43="MAT102","LTR",
B43="MAT103","SETS",
B43="MAT104","PCS",
B43="MAT105","NOS",
B43="MAT106","KG",
B43="MAT107","LTR",
B43="MAT108","SETS",
B43="MAT109","LTR",
B43="MAT110","PCS",
B43="MAT111","PCS",
B43="MAT112","SETS",
B43="MAT113","LTR",
B43="MAT114","PCS",
B43="MAT115","NOS",
B43="MAT116","KG",
B43="MAT117","PCS",
B43="MAT118","SETS",
B43="MAT119","KG"
)</f>
        <v>NOS</v>
      </c>
      <c r="G43">
        <v>0</v>
      </c>
      <c r="H43">
        <v>0</v>
      </c>
      <c r="I43">
        <v>453</v>
      </c>
      <c r="J43">
        <v>961</v>
      </c>
      <c r="K43" t="str">
        <f t="shared" si="0"/>
        <v>MAT105|Vendor 7</v>
      </c>
      <c r="L43" t="str">
        <f t="shared" si="1"/>
        <v>No Exception</v>
      </c>
      <c r="M43" t="str">
        <f t="shared" si="2"/>
        <v>No Exception</v>
      </c>
      <c r="N43" t="str">
        <f t="shared" si="5"/>
        <v>No Exception</v>
      </c>
      <c r="O43" t="str">
        <f t="shared" si="4"/>
        <v>No Tolerance</v>
      </c>
    </row>
    <row r="44" spans="1:15" x14ac:dyDescent="0.35">
      <c r="A44" t="s">
        <v>119</v>
      </c>
      <c r="B44" t="s">
        <v>31</v>
      </c>
      <c r="C44" t="s">
        <v>32</v>
      </c>
      <c r="D44" t="s">
        <v>28</v>
      </c>
      <c r="E44" t="s">
        <v>29</v>
      </c>
      <c r="F44" t="str" cm="1">
        <f t="array" ref="F44">_xlfn.IFS(
B44="MAT100","PCS",
B44="MAT101","NOS",
B44="MAT102","LTR",
B44="MAT103","SETS",
B44="MAT104","PCS",
B44="MAT105","NOS",
B44="MAT106","KG",
B44="MAT107","LTR",
B44="MAT108","SETS",
B44="MAT109","LTR",
B44="MAT110","PCS",
B44="MAT111","PCS",
B44="MAT112","SETS",
B44="MAT113","LTR",
B44="MAT114","PCS",
B44="MAT115","NOS",
B44="MAT116","KG",
B44="MAT117","PCS",
B44="MAT118","SETS",
B44="MAT119","KG"
)</f>
        <v>SETS</v>
      </c>
      <c r="G44">
        <v>0</v>
      </c>
      <c r="H44">
        <v>0</v>
      </c>
      <c r="I44">
        <v>256</v>
      </c>
      <c r="J44">
        <v>3761</v>
      </c>
      <c r="K44" t="str">
        <f t="shared" si="0"/>
        <v>MAT103|Vendor 7</v>
      </c>
      <c r="L44" t="str">
        <f t="shared" si="1"/>
        <v>No Exception</v>
      </c>
      <c r="M44" t="str">
        <f t="shared" si="2"/>
        <v>No Exception</v>
      </c>
      <c r="N44" t="str">
        <f t="shared" si="5"/>
        <v>No Exception</v>
      </c>
      <c r="O44" t="str">
        <f t="shared" si="4"/>
        <v>No Tolerance</v>
      </c>
    </row>
    <row r="45" spans="1:15" x14ac:dyDescent="0.35">
      <c r="A45" t="s">
        <v>120</v>
      </c>
      <c r="B45" t="s">
        <v>110</v>
      </c>
      <c r="C45" t="s">
        <v>111</v>
      </c>
      <c r="D45" t="s">
        <v>95</v>
      </c>
      <c r="E45" t="s">
        <v>96</v>
      </c>
      <c r="F45" t="str" cm="1">
        <f t="array" ref="F45">_xlfn.IFS(
B45="MAT100","PCS",
B45="MAT101","NOS",
B45="MAT102","LTR",
B45="MAT103","SETS",
B45="MAT104","PCS",
B45="MAT105","NOS",
B45="MAT106","KG",
B45="MAT107","LTR",
B45="MAT108","SETS",
B45="MAT109","LTR",
B45="MAT110","PCS",
B45="MAT111","PCS",
B45="MAT112","SETS",
B45="MAT113","LTR",
B45="MAT114","PCS",
B45="MAT115","NOS",
B45="MAT116","KG",
B45="MAT117","PCS",
B45="MAT118","SETS",
B45="MAT119","KG"
)</f>
        <v>KG</v>
      </c>
      <c r="G45">
        <v>0</v>
      </c>
      <c r="H45">
        <v>0</v>
      </c>
      <c r="I45">
        <v>121</v>
      </c>
      <c r="J45">
        <v>4511</v>
      </c>
      <c r="K45" t="str">
        <f t="shared" si="0"/>
        <v>MAT119|Vendor 11</v>
      </c>
      <c r="L45" t="str">
        <f t="shared" si="1"/>
        <v>Exception</v>
      </c>
      <c r="M45" t="str">
        <f t="shared" si="2"/>
        <v>Exception</v>
      </c>
      <c r="N45" t="str">
        <f t="shared" si="5"/>
        <v>Scenario A + B</v>
      </c>
      <c r="O45" t="str">
        <f t="shared" si="4"/>
        <v>No Tolerance</v>
      </c>
    </row>
    <row r="46" spans="1:15" x14ac:dyDescent="0.35">
      <c r="A46" t="s">
        <v>121</v>
      </c>
      <c r="B46" t="s">
        <v>26</v>
      </c>
      <c r="C46" t="s">
        <v>27</v>
      </c>
      <c r="D46" t="s">
        <v>18</v>
      </c>
      <c r="E46" t="s">
        <v>19</v>
      </c>
      <c r="F46" t="str" cm="1">
        <f t="array" ref="F46">_xlfn.IFS(
B46="MAT100","PCS",
B46="MAT101","NOS",
B46="MAT102","LTR",
B46="MAT103","SETS",
B46="MAT104","PCS",
B46="MAT105","NOS",
B46="MAT106","KG",
B46="MAT107","LTR",
B46="MAT108","SETS",
B46="MAT109","LTR",
B46="MAT110","PCS",
B46="MAT111","PCS",
B46="MAT112","SETS",
B46="MAT113","LTR",
B46="MAT114","PCS",
B46="MAT115","NOS",
B46="MAT116","KG",
B46="MAT117","PCS",
B46="MAT118","SETS",
B46="MAT119","KG"
)</f>
        <v>SETS</v>
      </c>
      <c r="G46">
        <v>0</v>
      </c>
      <c r="H46">
        <v>0</v>
      </c>
      <c r="I46">
        <v>138</v>
      </c>
      <c r="J46">
        <v>3155</v>
      </c>
      <c r="K46" t="str">
        <f t="shared" si="0"/>
        <v>MAT108|Vendor 10</v>
      </c>
      <c r="L46" t="str">
        <f t="shared" si="1"/>
        <v>No Exception</v>
      </c>
      <c r="M46" t="str">
        <f t="shared" si="2"/>
        <v>No Exception</v>
      </c>
      <c r="N46" t="str">
        <f t="shared" si="5"/>
        <v>No Exception</v>
      </c>
      <c r="O46" t="str">
        <f t="shared" si="4"/>
        <v>No Tolerance</v>
      </c>
    </row>
    <row r="47" spans="1:15" x14ac:dyDescent="0.35">
      <c r="A47" t="s">
        <v>122</v>
      </c>
      <c r="B47" t="s">
        <v>42</v>
      </c>
      <c r="C47" t="s">
        <v>43</v>
      </c>
      <c r="D47" t="s">
        <v>33</v>
      </c>
      <c r="E47" t="s">
        <v>34</v>
      </c>
      <c r="F47" t="str" cm="1">
        <f t="array" ref="F47">_xlfn.IFS(
B47="MAT100","PCS",
B47="MAT101","NOS",
B47="MAT102","LTR",
B47="MAT103","SETS",
B47="MAT104","PCS",
B47="MAT105","NOS",
B47="MAT106","KG",
B47="MAT107","LTR",
B47="MAT108","SETS",
B47="MAT109","LTR",
B47="MAT110","PCS",
B47="MAT111","PCS",
B47="MAT112","SETS",
B47="MAT113","LTR",
B47="MAT114","PCS",
B47="MAT115","NOS",
B47="MAT116","KG",
B47="MAT117","PCS",
B47="MAT118","SETS",
B47="MAT119","KG"
)</f>
        <v>LTR</v>
      </c>
      <c r="G47">
        <v>0</v>
      </c>
      <c r="H47">
        <v>0</v>
      </c>
      <c r="I47">
        <v>126</v>
      </c>
      <c r="J47">
        <v>2029</v>
      </c>
      <c r="K47" t="str">
        <f t="shared" si="0"/>
        <v>MAT107|Vendor 3</v>
      </c>
      <c r="L47" t="str">
        <f t="shared" si="1"/>
        <v>Exception</v>
      </c>
      <c r="M47" t="str">
        <f t="shared" si="2"/>
        <v>No Exception</v>
      </c>
      <c r="N47" t="str">
        <f t="shared" si="5"/>
        <v>Scenario B</v>
      </c>
      <c r="O47" t="str">
        <f t="shared" si="4"/>
        <v>No Tolerance</v>
      </c>
    </row>
    <row r="48" spans="1:15" x14ac:dyDescent="0.35">
      <c r="A48" t="s">
        <v>123</v>
      </c>
      <c r="B48" t="s">
        <v>115</v>
      </c>
      <c r="C48" t="s">
        <v>116</v>
      </c>
      <c r="D48" t="s">
        <v>87</v>
      </c>
      <c r="E48" t="s">
        <v>88</v>
      </c>
      <c r="F48" t="str" cm="1">
        <f t="array" ref="F48">_xlfn.IFS(
B48="MAT100","PCS",
B48="MAT101","NOS",
B48="MAT102","LTR",
B48="MAT103","SETS",
B48="MAT104","PCS",
B48="MAT105","NOS",
B48="MAT106","KG",
B48="MAT107","LTR",
B48="MAT108","SETS",
B48="MAT109","LTR",
B48="MAT110","PCS",
B48="MAT111","PCS",
B48="MAT112","SETS",
B48="MAT113","LTR",
B48="MAT114","PCS",
B48="MAT115","NOS",
B48="MAT116","KG",
B48="MAT117","PCS",
B48="MAT118","SETS",
B48="MAT119","KG"
)</f>
        <v>PCS</v>
      </c>
      <c r="G48">
        <v>0</v>
      </c>
      <c r="H48">
        <v>2</v>
      </c>
      <c r="I48">
        <v>203</v>
      </c>
      <c r="J48">
        <v>2161</v>
      </c>
      <c r="K48" t="str">
        <f t="shared" si="0"/>
        <v>MAT110|Vendor 2</v>
      </c>
      <c r="L48" t="str">
        <f t="shared" si="1"/>
        <v>Exception</v>
      </c>
      <c r="M48" t="str">
        <f t="shared" si="2"/>
        <v>Exception</v>
      </c>
      <c r="N48" t="str">
        <f t="shared" si="5"/>
        <v>Scenario A + B</v>
      </c>
      <c r="O48" t="str">
        <f t="shared" si="4"/>
        <v>Under Tolerance</v>
      </c>
    </row>
    <row r="49" spans="1:15" x14ac:dyDescent="0.35">
      <c r="A49" t="s">
        <v>124</v>
      </c>
      <c r="B49" t="s">
        <v>31</v>
      </c>
      <c r="C49" t="s">
        <v>32</v>
      </c>
      <c r="D49" t="s">
        <v>95</v>
      </c>
      <c r="E49" t="s">
        <v>96</v>
      </c>
      <c r="F49" t="str" cm="1">
        <f t="array" ref="F49">_xlfn.IFS(
B49="MAT100","PCS",
B49="MAT101","NOS",
B49="MAT102","LTR",
B49="MAT103","SETS",
B49="MAT104","PCS",
B49="MAT105","NOS",
B49="MAT106","KG",
B49="MAT107","LTR",
B49="MAT108","SETS",
B49="MAT109","LTR",
B49="MAT110","PCS",
B49="MAT111","PCS",
B49="MAT112","SETS",
B49="MAT113","LTR",
B49="MAT114","PCS",
B49="MAT115","NOS",
B49="MAT116","KG",
B49="MAT117","PCS",
B49="MAT118","SETS",
B49="MAT119","KG"
)</f>
        <v>SETS</v>
      </c>
      <c r="G49">
        <v>0</v>
      </c>
      <c r="H49">
        <v>0</v>
      </c>
      <c r="I49">
        <v>238</v>
      </c>
      <c r="J49">
        <v>403</v>
      </c>
      <c r="K49" t="str">
        <f t="shared" si="0"/>
        <v>MAT103|Vendor 11</v>
      </c>
      <c r="L49" t="str">
        <f t="shared" si="1"/>
        <v>No Exception</v>
      </c>
      <c r="M49" t="str">
        <f t="shared" si="2"/>
        <v>No Exception</v>
      </c>
      <c r="N49" t="str">
        <f t="shared" si="5"/>
        <v>No Exception</v>
      </c>
      <c r="O49" t="str">
        <f t="shared" si="4"/>
        <v>No Tolerance</v>
      </c>
    </row>
    <row r="50" spans="1:15" x14ac:dyDescent="0.35">
      <c r="A50" t="s">
        <v>125</v>
      </c>
      <c r="B50" t="s">
        <v>16</v>
      </c>
      <c r="C50" t="s">
        <v>17</v>
      </c>
      <c r="D50" t="s">
        <v>44</v>
      </c>
      <c r="E50" t="s">
        <v>45</v>
      </c>
      <c r="F50" t="str" cm="1">
        <f t="array" ref="F50">_xlfn.IFS(
B50="MAT100","PCS",
B50="MAT101","NOS",
B50="MAT102","LTR",
B50="MAT103","SETS",
B50="MAT104","PCS",
B50="MAT105","NOS",
B50="MAT106","KG",
B50="MAT107","LTR",
B50="MAT108","SETS",
B50="MAT109","LTR",
B50="MAT110","PCS",
B50="MAT111","PCS",
B50="MAT112","SETS",
B50="MAT113","LTR",
B50="MAT114","PCS",
B50="MAT115","NOS",
B50="MAT116","KG",
B50="MAT117","PCS",
B50="MAT118","SETS",
B50="MAT119","KG"
)</f>
        <v>PCS</v>
      </c>
      <c r="G50">
        <v>0</v>
      </c>
      <c r="H50">
        <v>2</v>
      </c>
      <c r="I50">
        <v>21</v>
      </c>
      <c r="J50">
        <v>2505</v>
      </c>
      <c r="K50" t="str">
        <f t="shared" si="0"/>
        <v>MAT114|Vendor 6</v>
      </c>
      <c r="L50" t="str">
        <f t="shared" si="1"/>
        <v>Exception</v>
      </c>
      <c r="M50" t="str">
        <f t="shared" si="2"/>
        <v>No Exception</v>
      </c>
      <c r="N50" t="str">
        <f t="shared" si="5"/>
        <v>Scenario B</v>
      </c>
      <c r="O50" t="str">
        <f t="shared" si="4"/>
        <v>Under Tolerance</v>
      </c>
    </row>
    <row r="51" spans="1:15" x14ac:dyDescent="0.35">
      <c r="A51" t="s">
        <v>126</v>
      </c>
      <c r="B51" t="s">
        <v>50</v>
      </c>
      <c r="C51" t="s">
        <v>51</v>
      </c>
      <c r="D51" t="s">
        <v>38</v>
      </c>
      <c r="E51" t="s">
        <v>39</v>
      </c>
      <c r="F51" t="str" cm="1">
        <f t="array" ref="F51">_xlfn.IFS(
B51="MAT100","PCS",
B51="MAT101","NOS",
B51="MAT102","LTR",
B51="MAT103","SETS",
B51="MAT104","PCS",
B51="MAT105","NOS",
B51="MAT106","KG",
B51="MAT107","LTR",
B51="MAT108","SETS",
B51="MAT109","LTR",
B51="MAT110","PCS",
B51="MAT111","PCS",
B51="MAT112","SETS",
B51="MAT113","LTR",
B51="MAT114","PCS",
B51="MAT115","NOS",
B51="MAT116","KG",
B51="MAT117","PCS",
B51="MAT118","SETS",
B51="MAT119","KG"
)</f>
        <v>SETS</v>
      </c>
      <c r="G51">
        <v>0</v>
      </c>
      <c r="H51">
        <v>0</v>
      </c>
      <c r="I51">
        <v>477</v>
      </c>
      <c r="J51">
        <v>715</v>
      </c>
      <c r="K51" t="str">
        <f t="shared" si="0"/>
        <v>MAT118|Vendor 4</v>
      </c>
      <c r="L51" t="str">
        <f t="shared" si="1"/>
        <v>No Exception</v>
      </c>
      <c r="M51" t="str">
        <f t="shared" si="2"/>
        <v>No Exception</v>
      </c>
      <c r="N51" t="str">
        <f t="shared" si="5"/>
        <v>No Exception</v>
      </c>
      <c r="O51" t="str">
        <f t="shared" si="4"/>
        <v>No Tolerance</v>
      </c>
    </row>
    <row r="52" spans="1:15" x14ac:dyDescent="0.35">
      <c r="A52" t="s">
        <v>127</v>
      </c>
      <c r="B52" t="s">
        <v>110</v>
      </c>
      <c r="C52" t="s">
        <v>111</v>
      </c>
      <c r="D52" t="s">
        <v>55</v>
      </c>
      <c r="E52" t="s">
        <v>56</v>
      </c>
      <c r="F52" t="str" cm="1">
        <f t="array" ref="F52">_xlfn.IFS(
B52="MAT100","PCS",
B52="MAT101","NOS",
B52="MAT102","LTR",
B52="MAT103","SETS",
B52="MAT104","PCS",
B52="MAT105","NOS",
B52="MAT106","KG",
B52="MAT107","LTR",
B52="MAT108","SETS",
B52="MAT109","LTR",
B52="MAT110","PCS",
B52="MAT111","PCS",
B52="MAT112","SETS",
B52="MAT113","LTR",
B52="MAT114","PCS",
B52="MAT115","NOS",
B52="MAT116","KG",
B52="MAT117","PCS",
B52="MAT118","SETS",
B52="MAT119","KG"
)</f>
        <v>KG</v>
      </c>
      <c r="G52">
        <v>0</v>
      </c>
      <c r="H52">
        <v>0</v>
      </c>
      <c r="I52">
        <v>397</v>
      </c>
      <c r="J52">
        <v>151</v>
      </c>
      <c r="K52" t="str">
        <f t="shared" si="0"/>
        <v>MAT119|Vendor 5</v>
      </c>
      <c r="L52" t="str">
        <f t="shared" si="1"/>
        <v>Exception</v>
      </c>
      <c r="M52" t="str">
        <f t="shared" si="2"/>
        <v>No Exception</v>
      </c>
      <c r="N52" t="str">
        <f t="shared" si="5"/>
        <v>Scenario B</v>
      </c>
      <c r="O52" t="str">
        <f t="shared" si="4"/>
        <v>No Tolerance</v>
      </c>
    </row>
    <row r="53" spans="1:15" x14ac:dyDescent="0.35">
      <c r="A53" t="s">
        <v>128</v>
      </c>
      <c r="B53" t="s">
        <v>78</v>
      </c>
      <c r="C53" t="s">
        <v>79</v>
      </c>
      <c r="D53" t="s">
        <v>38</v>
      </c>
      <c r="E53" t="s">
        <v>39</v>
      </c>
      <c r="F53" t="str" cm="1">
        <f t="array" ref="F53">_xlfn.IFS(
B53="MAT100","PCS",
B53="MAT101","NOS",
B53="MAT102","LTR",
B53="MAT103","SETS",
B53="MAT104","PCS",
B53="MAT105","NOS",
B53="MAT106","KG",
B53="MAT107","LTR",
B53="MAT108","SETS",
B53="MAT109","LTR",
B53="MAT110","PCS",
B53="MAT111","PCS",
B53="MAT112","SETS",
B53="MAT113","LTR",
B53="MAT114","PCS",
B53="MAT115","NOS",
B53="MAT116","KG",
B53="MAT117","PCS",
B53="MAT118","SETS",
B53="MAT119","KG"
)</f>
        <v>PCS</v>
      </c>
      <c r="G53">
        <v>0</v>
      </c>
      <c r="H53">
        <v>0</v>
      </c>
      <c r="I53">
        <v>20</v>
      </c>
      <c r="J53">
        <v>3120</v>
      </c>
      <c r="K53" t="str">
        <f t="shared" si="0"/>
        <v>MAT111|Vendor 4</v>
      </c>
      <c r="L53" t="str">
        <f t="shared" si="1"/>
        <v>No Exception</v>
      </c>
      <c r="M53" t="str">
        <f t="shared" si="2"/>
        <v>No Exception</v>
      </c>
      <c r="N53" t="str">
        <f t="shared" si="5"/>
        <v>No Exception</v>
      </c>
      <c r="O53" t="str">
        <f t="shared" si="4"/>
        <v>No Tolerance</v>
      </c>
    </row>
    <row r="54" spans="1:15" x14ac:dyDescent="0.35">
      <c r="A54" t="s">
        <v>129</v>
      </c>
      <c r="B54" t="s">
        <v>26</v>
      </c>
      <c r="C54" t="s">
        <v>27</v>
      </c>
      <c r="D54" t="s">
        <v>104</v>
      </c>
      <c r="E54" t="s">
        <v>105</v>
      </c>
      <c r="F54" t="str" cm="1">
        <f t="array" ref="F54">_xlfn.IFS(
B54="MAT100","PCS",
B54="MAT101","NOS",
B54="MAT102","LTR",
B54="MAT103","SETS",
B54="MAT104","PCS",
B54="MAT105","NOS",
B54="MAT106","KG",
B54="MAT107","LTR",
B54="MAT108","SETS",
B54="MAT109","LTR",
B54="MAT110","PCS",
B54="MAT111","PCS",
B54="MAT112","SETS",
B54="MAT113","LTR",
B54="MAT114","PCS",
B54="MAT115","NOS",
B54="MAT116","KG",
B54="MAT117","PCS",
B54="MAT118","SETS",
B54="MAT119","KG"
)</f>
        <v>SETS</v>
      </c>
      <c r="G54">
        <v>0</v>
      </c>
      <c r="H54">
        <v>0</v>
      </c>
      <c r="I54">
        <v>307</v>
      </c>
      <c r="J54">
        <v>1766</v>
      </c>
      <c r="K54" t="str">
        <f t="shared" si="0"/>
        <v>MAT108|Vendor 1</v>
      </c>
      <c r="L54" t="str">
        <f t="shared" si="1"/>
        <v>No Exception</v>
      </c>
      <c r="M54" t="str">
        <f t="shared" si="2"/>
        <v>No Exception</v>
      </c>
      <c r="N54" t="str">
        <f t="shared" si="5"/>
        <v>No Exception</v>
      </c>
      <c r="O54" t="str">
        <f t="shared" si="4"/>
        <v>No Tolerance</v>
      </c>
    </row>
    <row r="55" spans="1:15" x14ac:dyDescent="0.35">
      <c r="A55" t="s">
        <v>130</v>
      </c>
      <c r="B55" t="s">
        <v>78</v>
      </c>
      <c r="C55" t="s">
        <v>79</v>
      </c>
      <c r="D55" t="s">
        <v>33</v>
      </c>
      <c r="E55" t="s">
        <v>34</v>
      </c>
      <c r="F55" t="str" cm="1">
        <f t="array" ref="F55">_xlfn.IFS(
B55="MAT100","PCS",
B55="MAT101","NOS",
B55="MAT102","LTR",
B55="MAT103","SETS",
B55="MAT104","PCS",
B55="MAT105","NOS",
B55="MAT106","KG",
B55="MAT107","LTR",
B55="MAT108","SETS",
B55="MAT109","LTR",
B55="MAT110","PCS",
B55="MAT111","PCS",
B55="MAT112","SETS",
B55="MAT113","LTR",
B55="MAT114","PCS",
B55="MAT115","NOS",
B55="MAT116","KG",
B55="MAT117","PCS",
B55="MAT118","SETS",
B55="MAT119","KG"
)</f>
        <v>PCS</v>
      </c>
      <c r="G55">
        <v>0</v>
      </c>
      <c r="H55">
        <v>0</v>
      </c>
      <c r="I55">
        <v>318</v>
      </c>
      <c r="J55">
        <v>2657</v>
      </c>
      <c r="K55" t="str">
        <f t="shared" si="0"/>
        <v>MAT111|Vendor 3</v>
      </c>
      <c r="L55" t="str">
        <f t="shared" si="1"/>
        <v>No Exception</v>
      </c>
      <c r="M55" t="str">
        <f t="shared" si="2"/>
        <v>No Exception</v>
      </c>
      <c r="N55" t="str">
        <f t="shared" si="5"/>
        <v>No Exception</v>
      </c>
      <c r="O55" t="str">
        <f t="shared" si="4"/>
        <v>No Tolerance</v>
      </c>
    </row>
    <row r="56" spans="1:15" x14ac:dyDescent="0.35">
      <c r="A56" t="s">
        <v>131</v>
      </c>
      <c r="B56" t="s">
        <v>36</v>
      </c>
      <c r="C56" t="s">
        <v>37</v>
      </c>
      <c r="D56" t="s">
        <v>23</v>
      </c>
      <c r="E56" t="s">
        <v>24</v>
      </c>
      <c r="F56" t="str" cm="1">
        <f t="array" ref="F56">_xlfn.IFS(
B56="MAT100","PCS",
B56="MAT101","NOS",
B56="MAT102","LTR",
B56="MAT103","SETS",
B56="MAT104","PCS",
B56="MAT105","NOS",
B56="MAT106","KG",
B56="MAT107","LTR",
B56="MAT108","SETS",
B56="MAT109","LTR",
B56="MAT110","PCS",
B56="MAT111","PCS",
B56="MAT112","SETS",
B56="MAT113","LTR",
B56="MAT114","PCS",
B56="MAT115","NOS",
B56="MAT116","KG",
B56="MAT117","PCS",
B56="MAT118","SETS",
B56="MAT119","KG"
)</f>
        <v>PCS</v>
      </c>
      <c r="G56">
        <v>0</v>
      </c>
      <c r="H56">
        <v>0</v>
      </c>
      <c r="I56">
        <v>33</v>
      </c>
      <c r="J56">
        <v>3443</v>
      </c>
      <c r="K56" t="str">
        <f t="shared" si="0"/>
        <v>MAT117|Vendor 8</v>
      </c>
      <c r="L56" t="str">
        <f t="shared" si="1"/>
        <v>No Exception</v>
      </c>
      <c r="M56" t="str">
        <f t="shared" si="2"/>
        <v>No Exception</v>
      </c>
      <c r="N56" t="str">
        <f t="shared" si="5"/>
        <v>No Exception</v>
      </c>
      <c r="O56" t="str">
        <f t="shared" si="4"/>
        <v>No Tolerance</v>
      </c>
    </row>
    <row r="57" spans="1:15" x14ac:dyDescent="0.35">
      <c r="A57" t="s">
        <v>132</v>
      </c>
      <c r="B57" t="s">
        <v>66</v>
      </c>
      <c r="C57" t="s">
        <v>67</v>
      </c>
      <c r="D57" t="s">
        <v>95</v>
      </c>
      <c r="E57" t="s">
        <v>96</v>
      </c>
      <c r="F57" t="str" cm="1">
        <f t="array" ref="F57">_xlfn.IFS(
B57="MAT100","PCS",
B57="MAT101","NOS",
B57="MAT102","LTR",
B57="MAT103","SETS",
B57="MAT104","PCS",
B57="MAT105","NOS",
B57="MAT106","KG",
B57="MAT107","LTR",
B57="MAT108","SETS",
B57="MAT109","LTR",
B57="MAT110","PCS",
B57="MAT111","PCS",
B57="MAT112","SETS",
B57="MAT113","LTR",
B57="MAT114","PCS",
B57="MAT115","NOS",
B57="MAT116","KG",
B57="MAT117","PCS",
B57="MAT118","SETS",
B57="MAT119","KG"
)</f>
        <v>PCS</v>
      </c>
      <c r="G57">
        <v>0</v>
      </c>
      <c r="H57">
        <v>0</v>
      </c>
      <c r="I57">
        <v>274</v>
      </c>
      <c r="J57">
        <v>846</v>
      </c>
      <c r="K57" t="str">
        <f t="shared" si="0"/>
        <v>MAT104|Vendor 11</v>
      </c>
      <c r="L57" t="str">
        <f t="shared" si="1"/>
        <v>No Exception</v>
      </c>
      <c r="M57" t="str">
        <f t="shared" si="2"/>
        <v>No Exception</v>
      </c>
      <c r="N57" t="str">
        <f t="shared" si="5"/>
        <v>No Exception</v>
      </c>
      <c r="O57" t="str">
        <f t="shared" si="4"/>
        <v>No Tolerance</v>
      </c>
    </row>
    <row r="58" spans="1:15" x14ac:dyDescent="0.35">
      <c r="A58" t="s">
        <v>133</v>
      </c>
      <c r="B58" t="s">
        <v>85</v>
      </c>
      <c r="C58" t="s">
        <v>86</v>
      </c>
      <c r="D58" t="s">
        <v>95</v>
      </c>
      <c r="E58" t="s">
        <v>96</v>
      </c>
      <c r="F58" t="str" cm="1">
        <f t="array" ref="F58">_xlfn.IFS(
B58="MAT100","PCS",
B58="MAT101","NOS",
B58="MAT102","LTR",
B58="MAT103","SETS",
B58="MAT104","PCS",
B58="MAT105","NOS",
B58="MAT106","KG",
B58="MAT107","LTR",
B58="MAT108","SETS",
B58="MAT109","LTR",
B58="MAT110","PCS",
B58="MAT111","PCS",
B58="MAT112","SETS",
B58="MAT113","LTR",
B58="MAT114","PCS",
B58="MAT115","NOS",
B58="MAT116","KG",
B58="MAT117","PCS",
B58="MAT118","SETS",
B58="MAT119","KG"
)</f>
        <v>LTR</v>
      </c>
      <c r="G58">
        <v>0</v>
      </c>
      <c r="H58">
        <v>0</v>
      </c>
      <c r="I58">
        <v>158</v>
      </c>
      <c r="J58">
        <v>3522</v>
      </c>
      <c r="K58" t="str">
        <f t="shared" si="0"/>
        <v>MAT109|Vendor 11</v>
      </c>
      <c r="L58" t="str">
        <f t="shared" si="1"/>
        <v>Exception</v>
      </c>
      <c r="M58" t="str">
        <f t="shared" si="2"/>
        <v>No Exception</v>
      </c>
      <c r="N58" t="str">
        <f t="shared" si="5"/>
        <v>Scenario B</v>
      </c>
      <c r="O58" t="str">
        <f t="shared" si="4"/>
        <v>No Tolerance</v>
      </c>
    </row>
    <row r="59" spans="1:15" x14ac:dyDescent="0.35">
      <c r="A59" t="s">
        <v>134</v>
      </c>
      <c r="B59" t="s">
        <v>78</v>
      </c>
      <c r="C59" t="s">
        <v>79</v>
      </c>
      <c r="D59" t="s">
        <v>28</v>
      </c>
      <c r="E59" t="s">
        <v>29</v>
      </c>
      <c r="F59" t="str" cm="1">
        <f t="array" ref="F59">_xlfn.IFS(
B59="MAT100","PCS",
B59="MAT101","NOS",
B59="MAT102","LTR",
B59="MAT103","SETS",
B59="MAT104","PCS",
B59="MAT105","NOS",
B59="MAT106","KG",
B59="MAT107","LTR",
B59="MAT108","SETS",
B59="MAT109","LTR",
B59="MAT110","PCS",
B59="MAT111","PCS",
B59="MAT112","SETS",
B59="MAT113","LTR",
B59="MAT114","PCS",
B59="MAT115","NOS",
B59="MAT116","KG",
B59="MAT117","PCS",
B59="MAT118","SETS",
B59="MAT119","KG"
)</f>
        <v>PCS</v>
      </c>
      <c r="G59">
        <v>0</v>
      </c>
      <c r="H59">
        <v>0</v>
      </c>
      <c r="I59">
        <v>214</v>
      </c>
      <c r="J59">
        <v>249</v>
      </c>
      <c r="K59" t="str">
        <f t="shared" si="0"/>
        <v>MAT111|Vendor 7</v>
      </c>
      <c r="L59" t="str">
        <f t="shared" si="1"/>
        <v>No Exception</v>
      </c>
      <c r="M59" t="str">
        <f t="shared" si="2"/>
        <v>No Exception</v>
      </c>
      <c r="N59" t="str">
        <f t="shared" si="5"/>
        <v>No Exception</v>
      </c>
      <c r="O59" t="str">
        <f t="shared" si="4"/>
        <v>No Tolerance</v>
      </c>
    </row>
    <row r="60" spans="1:15" x14ac:dyDescent="0.35">
      <c r="A60" t="s">
        <v>135</v>
      </c>
      <c r="B60" t="s">
        <v>81</v>
      </c>
      <c r="C60" t="s">
        <v>82</v>
      </c>
      <c r="D60" t="s">
        <v>38</v>
      </c>
      <c r="E60" t="s">
        <v>39</v>
      </c>
      <c r="F60" t="str" cm="1">
        <f t="array" ref="F60">_xlfn.IFS(
B60="MAT100","PCS",
B60="MAT101","NOS",
B60="MAT102","LTR",
B60="MAT103","SETS",
B60="MAT104","PCS",
B60="MAT105","NOS",
B60="MAT106","KG",
B60="MAT107","LTR",
B60="MAT108","SETS",
B60="MAT109","LTR",
B60="MAT110","PCS",
B60="MAT111","PCS",
B60="MAT112","SETS",
B60="MAT113","LTR",
B60="MAT114","PCS",
B60="MAT115","NOS",
B60="MAT116","KG",
B60="MAT117","PCS",
B60="MAT118","SETS",
B60="MAT119","KG"
)</f>
        <v>SETS</v>
      </c>
      <c r="G60">
        <v>0</v>
      </c>
      <c r="H60">
        <v>0</v>
      </c>
      <c r="I60">
        <v>483</v>
      </c>
      <c r="J60">
        <v>148</v>
      </c>
      <c r="K60" t="str">
        <f t="shared" si="0"/>
        <v>MAT112|Vendor 4</v>
      </c>
      <c r="L60" t="str">
        <f t="shared" si="1"/>
        <v>No Exception</v>
      </c>
      <c r="M60" t="str">
        <f t="shared" si="2"/>
        <v>No Exception</v>
      </c>
      <c r="N60" t="str">
        <f t="shared" si="5"/>
        <v>No Exception</v>
      </c>
      <c r="O60" t="str">
        <f t="shared" si="4"/>
        <v>No Tolerance</v>
      </c>
    </row>
    <row r="61" spans="1:15" x14ac:dyDescent="0.35">
      <c r="A61" t="s">
        <v>136</v>
      </c>
      <c r="B61" t="s">
        <v>31</v>
      </c>
      <c r="C61" t="s">
        <v>32</v>
      </c>
      <c r="D61" t="s">
        <v>87</v>
      </c>
      <c r="E61" t="s">
        <v>88</v>
      </c>
      <c r="F61" t="str" cm="1">
        <f t="array" ref="F61">_xlfn.IFS(
B61="MAT100","PCS",
B61="MAT101","NOS",
B61="MAT102","LTR",
B61="MAT103","SETS",
B61="MAT104","PCS",
B61="MAT105","NOS",
B61="MAT106","KG",
B61="MAT107","LTR",
B61="MAT108","SETS",
B61="MAT109","LTR",
B61="MAT110","PCS",
B61="MAT111","PCS",
B61="MAT112","SETS",
B61="MAT113","LTR",
B61="MAT114","PCS",
B61="MAT115","NOS",
B61="MAT116","KG",
B61="MAT117","PCS",
B61="MAT118","SETS",
B61="MAT119","KG"
)</f>
        <v>SETS</v>
      </c>
      <c r="G61">
        <v>0</v>
      </c>
      <c r="H61">
        <v>2</v>
      </c>
      <c r="I61">
        <v>208</v>
      </c>
      <c r="J61">
        <v>4833</v>
      </c>
      <c r="K61" t="str">
        <f t="shared" si="0"/>
        <v>MAT103|Vendor 2</v>
      </c>
      <c r="L61" t="str">
        <f t="shared" si="1"/>
        <v>Exception</v>
      </c>
      <c r="M61" t="str">
        <f t="shared" si="2"/>
        <v>No Exception</v>
      </c>
      <c r="N61" t="str">
        <f t="shared" si="5"/>
        <v>Scenario B</v>
      </c>
      <c r="O61" t="str">
        <f t="shared" si="4"/>
        <v>Under Tolerance</v>
      </c>
    </row>
    <row r="62" spans="1:15" x14ac:dyDescent="0.35">
      <c r="A62" t="s">
        <v>137</v>
      </c>
      <c r="B62" t="s">
        <v>138</v>
      </c>
      <c r="C62" t="s">
        <v>139</v>
      </c>
      <c r="D62" t="s">
        <v>104</v>
      </c>
      <c r="E62" t="s">
        <v>105</v>
      </c>
      <c r="F62" t="str" cm="1">
        <f t="array" ref="F62">_xlfn.IFS(
B62="MAT100","PCS",
B62="MAT101","NOS",
B62="MAT102","LTR",
B62="MAT103","SETS",
B62="MAT104","PCS",
B62="MAT105","NOS",
B62="MAT106","KG",
B62="MAT107","LTR",
B62="MAT108","SETS",
B62="MAT109","LTR",
B62="MAT110","PCS",
B62="MAT111","PCS",
B62="MAT112","SETS",
B62="MAT113","LTR",
B62="MAT114","PCS",
B62="MAT115","NOS",
B62="MAT116","KG",
B62="MAT117","PCS",
B62="MAT118","SETS",
B62="MAT119","KG"
)</f>
        <v>PCS</v>
      </c>
      <c r="G62">
        <v>0</v>
      </c>
      <c r="H62">
        <v>0</v>
      </c>
      <c r="I62">
        <v>283</v>
      </c>
      <c r="J62">
        <v>1267</v>
      </c>
      <c r="K62" t="str">
        <f t="shared" si="0"/>
        <v>MAT100|Vendor 1</v>
      </c>
      <c r="L62" t="str">
        <f t="shared" si="1"/>
        <v>No Exception</v>
      </c>
      <c r="M62" t="str">
        <f t="shared" si="2"/>
        <v>No Exception</v>
      </c>
      <c r="N62" t="str">
        <f t="shared" si="5"/>
        <v>No Exception</v>
      </c>
      <c r="O62" t="str">
        <f t="shared" si="4"/>
        <v>No Tolerance</v>
      </c>
    </row>
    <row r="63" spans="1:15" x14ac:dyDescent="0.35">
      <c r="A63" t="s">
        <v>140</v>
      </c>
      <c r="B63" t="s">
        <v>110</v>
      </c>
      <c r="C63" t="s">
        <v>111</v>
      </c>
      <c r="D63" t="s">
        <v>44</v>
      </c>
      <c r="E63" t="s">
        <v>45</v>
      </c>
      <c r="F63" t="str" cm="1">
        <f t="array" ref="F63">_xlfn.IFS(
B63="MAT100","PCS",
B63="MAT101","NOS",
B63="MAT102","LTR",
B63="MAT103","SETS",
B63="MAT104","PCS",
B63="MAT105","NOS",
B63="MAT106","KG",
B63="MAT107","LTR",
B63="MAT108","SETS",
B63="MAT109","LTR",
B63="MAT110","PCS",
B63="MAT111","PCS",
B63="MAT112","SETS",
B63="MAT113","LTR",
B63="MAT114","PCS",
B63="MAT115","NOS",
B63="MAT116","KG",
B63="MAT117","PCS",
B63="MAT118","SETS",
B63="MAT119","KG"
)</f>
        <v>KG</v>
      </c>
      <c r="G63">
        <v>0</v>
      </c>
      <c r="H63">
        <v>5</v>
      </c>
      <c r="I63">
        <v>378</v>
      </c>
      <c r="J63">
        <v>4232</v>
      </c>
      <c r="K63" t="str">
        <f t="shared" si="0"/>
        <v>MAT119|Vendor 6</v>
      </c>
      <c r="L63" t="str">
        <f t="shared" si="1"/>
        <v>No Exception</v>
      </c>
      <c r="M63" t="str">
        <f t="shared" si="2"/>
        <v>No Exception</v>
      </c>
      <c r="N63" t="str">
        <f t="shared" si="5"/>
        <v>No Exception</v>
      </c>
      <c r="O63" t="str">
        <f t="shared" si="4"/>
        <v>Under Tolerance</v>
      </c>
    </row>
    <row r="64" spans="1:15" x14ac:dyDescent="0.35">
      <c r="A64" t="s">
        <v>141</v>
      </c>
      <c r="B64" t="s">
        <v>47</v>
      </c>
      <c r="C64" t="s">
        <v>48</v>
      </c>
      <c r="D64" t="s">
        <v>33</v>
      </c>
      <c r="E64" t="s">
        <v>34</v>
      </c>
      <c r="F64" t="str" cm="1">
        <f t="array" ref="F64">_xlfn.IFS(
B64="MAT100","PCS",
B64="MAT101","NOS",
B64="MAT102","LTR",
B64="MAT103","SETS",
B64="MAT104","PCS",
B64="MAT105","NOS",
B64="MAT106","KG",
B64="MAT107","LTR",
B64="MAT108","SETS",
B64="MAT109","LTR",
B64="MAT110","PCS",
B64="MAT111","PCS",
B64="MAT112","SETS",
B64="MAT113","LTR",
B64="MAT114","PCS",
B64="MAT115","NOS",
B64="MAT116","KG",
B64="MAT117","PCS",
B64="MAT118","SETS",
B64="MAT119","KG"
)</f>
        <v>KG</v>
      </c>
      <c r="G64">
        <v>0</v>
      </c>
      <c r="H64">
        <v>0</v>
      </c>
      <c r="I64">
        <v>474</v>
      </c>
      <c r="J64">
        <v>649</v>
      </c>
      <c r="K64" t="str">
        <f t="shared" si="0"/>
        <v>MAT116|Vendor 3</v>
      </c>
      <c r="L64" t="str">
        <f t="shared" si="1"/>
        <v>Exception</v>
      </c>
      <c r="M64" t="str">
        <f t="shared" si="2"/>
        <v>No Exception</v>
      </c>
      <c r="N64" t="str">
        <f t="shared" si="5"/>
        <v>Scenario B</v>
      </c>
      <c r="O64" t="str">
        <f t="shared" si="4"/>
        <v>No Tolerance</v>
      </c>
    </row>
    <row r="65" spans="1:15" x14ac:dyDescent="0.35">
      <c r="A65" t="s">
        <v>142</v>
      </c>
      <c r="B65" t="s">
        <v>75</v>
      </c>
      <c r="C65" t="s">
        <v>76</v>
      </c>
      <c r="D65" t="s">
        <v>55</v>
      </c>
      <c r="E65" t="s">
        <v>56</v>
      </c>
      <c r="F65" t="str" cm="1">
        <f t="array" ref="F65">_xlfn.IFS(
B65="MAT100","PCS",
B65="MAT101","NOS",
B65="MAT102","LTR",
B65="MAT103","SETS",
B65="MAT104","PCS",
B65="MAT105","NOS",
B65="MAT106","KG",
B65="MAT107","LTR",
B65="MAT108","SETS",
B65="MAT109","LTR",
B65="MAT110","PCS",
B65="MAT111","PCS",
B65="MAT112","SETS",
B65="MAT113","LTR",
B65="MAT114","PCS",
B65="MAT115","NOS",
B65="MAT116","KG",
B65="MAT117","PCS",
B65="MAT118","SETS",
B65="MAT119","KG"
)</f>
        <v>KG</v>
      </c>
      <c r="G65">
        <v>0</v>
      </c>
      <c r="H65">
        <v>0</v>
      </c>
      <c r="I65">
        <v>65</v>
      </c>
      <c r="J65">
        <v>456</v>
      </c>
      <c r="K65" t="str">
        <f t="shared" si="0"/>
        <v>MAT106|Vendor 5</v>
      </c>
      <c r="L65" t="str">
        <f t="shared" si="1"/>
        <v>Exception</v>
      </c>
      <c r="M65" t="str">
        <f t="shared" si="2"/>
        <v>No Exception</v>
      </c>
      <c r="N65" t="str">
        <f t="shared" si="5"/>
        <v>Scenario B</v>
      </c>
      <c r="O65" t="str">
        <f t="shared" si="4"/>
        <v>No Tolerance</v>
      </c>
    </row>
    <row r="66" spans="1:15" x14ac:dyDescent="0.35">
      <c r="A66" t="s">
        <v>143</v>
      </c>
      <c r="B66" t="s">
        <v>110</v>
      </c>
      <c r="C66" t="s">
        <v>111</v>
      </c>
      <c r="D66" t="s">
        <v>95</v>
      </c>
      <c r="E66" t="s">
        <v>96</v>
      </c>
      <c r="F66" t="str" cm="1">
        <f t="array" ref="F66">_xlfn.IFS(
B66="MAT100","PCS",
B66="MAT101","NOS",
B66="MAT102","LTR",
B66="MAT103","SETS",
B66="MAT104","PCS",
B66="MAT105","NOS",
B66="MAT106","KG",
B66="MAT107","LTR",
B66="MAT108","SETS",
B66="MAT109","LTR",
B66="MAT110","PCS",
B66="MAT111","PCS",
B66="MAT112","SETS",
B66="MAT113","LTR",
B66="MAT114","PCS",
B66="MAT115","NOS",
B66="MAT116","KG",
B66="MAT117","PCS",
B66="MAT118","SETS",
B66="MAT119","KG"
)</f>
        <v>KG</v>
      </c>
      <c r="G66">
        <v>5</v>
      </c>
      <c r="H66">
        <v>0</v>
      </c>
      <c r="I66">
        <v>199</v>
      </c>
      <c r="J66">
        <v>806</v>
      </c>
      <c r="K66" t="str">
        <f t="shared" ref="K66:K101" si="6">B66&amp;"|"&amp;E66</f>
        <v>MAT119|Vendor 11</v>
      </c>
      <c r="L66" t="str">
        <f t="shared" si="1"/>
        <v>No Exception</v>
      </c>
      <c r="M66" t="str">
        <f t="shared" si="2"/>
        <v>Exception</v>
      </c>
      <c r="N66" t="str">
        <f t="shared" si="5"/>
        <v>Scenario A</v>
      </c>
      <c r="O66" t="str">
        <f t="shared" si="4"/>
        <v>Over Tolerance</v>
      </c>
    </row>
    <row r="67" spans="1:15" x14ac:dyDescent="0.35">
      <c r="A67" t="s">
        <v>144</v>
      </c>
      <c r="B67" t="s">
        <v>42</v>
      </c>
      <c r="C67" t="s">
        <v>43</v>
      </c>
      <c r="D67" t="s">
        <v>18</v>
      </c>
      <c r="E67" t="s">
        <v>19</v>
      </c>
      <c r="F67" t="str" cm="1">
        <f t="array" ref="F67">_xlfn.IFS(
B67="MAT100","PCS",
B67="MAT101","NOS",
B67="MAT102","LTR",
B67="MAT103","SETS",
B67="MAT104","PCS",
B67="MAT105","NOS",
B67="MAT106","KG",
B67="MAT107","LTR",
B67="MAT108","SETS",
B67="MAT109","LTR",
B67="MAT110","PCS",
B67="MAT111","PCS",
B67="MAT112","SETS",
B67="MAT113","LTR",
B67="MAT114","PCS",
B67="MAT115","NOS",
B67="MAT116","KG",
B67="MAT117","PCS",
B67="MAT118","SETS",
B67="MAT119","KG"
)</f>
        <v>LTR</v>
      </c>
      <c r="G67">
        <v>10</v>
      </c>
      <c r="H67">
        <v>0</v>
      </c>
      <c r="I67">
        <v>208</v>
      </c>
      <c r="J67">
        <v>1706</v>
      </c>
      <c r="K67" t="str">
        <f t="shared" si="6"/>
        <v>MAT107|Vendor 10</v>
      </c>
      <c r="L67" t="str">
        <f t="shared" ref="L67:L101" si="7">IF(
   OR(F67="PCS",F67="SETS",F67="NOS"),
      IF(G67&lt;&gt;H67,"Exception","No Exception"),
   IF(
      OR(F67="LTR",F67="KG"),
         IF(G67=H67,"Exception","No Exception"),
      "No Exception"
   )
)</f>
        <v>No Exception</v>
      </c>
      <c r="M67" t="str">
        <f t="shared" ref="M67:M101" si="8">IF(
OR(
K67="MAT105|Vendor 11",
K67="MAT110|Vendor 2",
K67="MAT111|Vendor 5",
K67="MAT114|Vendor 7",
K67="MAT116|Vendor 4",
K67="MAT117|Vendor 4",
K67="MAT119|Vendor 11"
),
"Exception",
"No Exception"
)</f>
        <v>No Exception</v>
      </c>
      <c r="N67" t="str">
        <f t="shared" si="5"/>
        <v>No Exception</v>
      </c>
      <c r="O67" t="str">
        <f t="shared" ref="O67:O101" si="9">IF(
AND(G67&gt;0,H67&gt;0),
"Over + Under",
IF(
G67&gt;0,
"Over Tolerance",
IF(
H67&gt;0,
"Under Tolerance",
"No Tolerance"
)))</f>
        <v>Over Tolerance</v>
      </c>
    </row>
    <row r="68" spans="1:15" x14ac:dyDescent="0.35">
      <c r="A68" t="s">
        <v>145</v>
      </c>
      <c r="B68" t="s">
        <v>75</v>
      </c>
      <c r="C68" t="s">
        <v>76</v>
      </c>
      <c r="D68" t="s">
        <v>104</v>
      </c>
      <c r="E68" t="s">
        <v>105</v>
      </c>
      <c r="F68" t="str" cm="1">
        <f t="array" ref="F68">_xlfn.IFS(
B68="MAT100","PCS",
B68="MAT101","NOS",
B68="MAT102","LTR",
B68="MAT103","SETS",
B68="MAT104","PCS",
B68="MAT105","NOS",
B68="MAT106","KG",
B68="MAT107","LTR",
B68="MAT108","SETS",
B68="MAT109","LTR",
B68="MAT110","PCS",
B68="MAT111","PCS",
B68="MAT112","SETS",
B68="MAT113","LTR",
B68="MAT114","PCS",
B68="MAT115","NOS",
B68="MAT116","KG",
B68="MAT117","PCS",
B68="MAT118","SETS",
B68="MAT119","KG"
)</f>
        <v>KG</v>
      </c>
      <c r="G68">
        <v>0</v>
      </c>
      <c r="H68">
        <v>5</v>
      </c>
      <c r="I68">
        <v>205</v>
      </c>
      <c r="J68">
        <v>4342</v>
      </c>
      <c r="K68" t="str">
        <f t="shared" si="6"/>
        <v>MAT106|Vendor 1</v>
      </c>
      <c r="L68" t="str">
        <f t="shared" si="7"/>
        <v>No Exception</v>
      </c>
      <c r="M68" t="str">
        <f t="shared" si="8"/>
        <v>No Exception</v>
      </c>
      <c r="N68" t="str">
        <f t="shared" si="5"/>
        <v>No Exception</v>
      </c>
      <c r="O68" t="str">
        <f t="shared" si="9"/>
        <v>Under Tolerance</v>
      </c>
    </row>
    <row r="69" spans="1:15" x14ac:dyDescent="0.35">
      <c r="A69" t="s">
        <v>146</v>
      </c>
      <c r="B69" t="s">
        <v>42</v>
      </c>
      <c r="C69" t="s">
        <v>43</v>
      </c>
      <c r="D69" t="s">
        <v>63</v>
      </c>
      <c r="E69" t="s">
        <v>64</v>
      </c>
      <c r="F69" t="str" cm="1">
        <f t="array" ref="F69">_xlfn.IFS(
B69="MAT100","PCS",
B69="MAT101","NOS",
B69="MAT102","LTR",
B69="MAT103","SETS",
B69="MAT104","PCS",
B69="MAT105","NOS",
B69="MAT106","KG",
B69="MAT107","LTR",
B69="MAT108","SETS",
B69="MAT109","LTR",
B69="MAT110","PCS",
B69="MAT111","PCS",
B69="MAT112","SETS",
B69="MAT113","LTR",
B69="MAT114","PCS",
B69="MAT115","NOS",
B69="MAT116","KG",
B69="MAT117","PCS",
B69="MAT118","SETS",
B69="MAT119","KG"
)</f>
        <v>LTR</v>
      </c>
      <c r="G69">
        <v>0</v>
      </c>
      <c r="H69">
        <v>0</v>
      </c>
      <c r="I69">
        <v>418</v>
      </c>
      <c r="J69">
        <v>1677</v>
      </c>
      <c r="K69" t="str">
        <f t="shared" si="6"/>
        <v>MAT107|Vendor 12</v>
      </c>
      <c r="L69" t="str">
        <f t="shared" si="7"/>
        <v>Exception</v>
      </c>
      <c r="M69" t="str">
        <f t="shared" si="8"/>
        <v>No Exception</v>
      </c>
      <c r="N69" t="str">
        <f t="shared" si="5"/>
        <v>Scenario B</v>
      </c>
      <c r="O69" t="str">
        <f t="shared" si="9"/>
        <v>No Tolerance</v>
      </c>
    </row>
    <row r="70" spans="1:15" x14ac:dyDescent="0.35">
      <c r="A70" t="s">
        <v>147</v>
      </c>
      <c r="B70" t="s">
        <v>115</v>
      </c>
      <c r="C70" t="s">
        <v>116</v>
      </c>
      <c r="D70" t="s">
        <v>87</v>
      </c>
      <c r="E70" t="s">
        <v>88</v>
      </c>
      <c r="F70" t="str" cm="1">
        <f t="array" ref="F70">_xlfn.IFS(
B70="MAT100","PCS",
B70="MAT101","NOS",
B70="MAT102","LTR",
B70="MAT103","SETS",
B70="MAT104","PCS",
B70="MAT105","NOS",
B70="MAT106","KG",
B70="MAT107","LTR",
B70="MAT108","SETS",
B70="MAT109","LTR",
B70="MAT110","PCS",
B70="MAT111","PCS",
B70="MAT112","SETS",
B70="MAT113","LTR",
B70="MAT114","PCS",
B70="MAT115","NOS",
B70="MAT116","KG",
B70="MAT117","PCS",
B70="MAT118","SETS",
B70="MAT119","KG"
)</f>
        <v>PCS</v>
      </c>
      <c r="G70">
        <v>5</v>
      </c>
      <c r="H70">
        <v>0</v>
      </c>
      <c r="I70">
        <v>200</v>
      </c>
      <c r="J70">
        <v>3833</v>
      </c>
      <c r="K70" t="str">
        <f t="shared" si="6"/>
        <v>MAT110|Vendor 2</v>
      </c>
      <c r="L70" t="str">
        <f t="shared" si="7"/>
        <v>Exception</v>
      </c>
      <c r="M70" t="str">
        <f t="shared" si="8"/>
        <v>Exception</v>
      </c>
      <c r="N70" t="str">
        <f t="shared" si="5"/>
        <v>Scenario A + B</v>
      </c>
      <c r="O70" t="str">
        <f t="shared" si="9"/>
        <v>Over Tolerance</v>
      </c>
    </row>
    <row r="71" spans="1:15" x14ac:dyDescent="0.35">
      <c r="A71" t="s">
        <v>148</v>
      </c>
      <c r="B71" t="s">
        <v>69</v>
      </c>
      <c r="C71" t="s">
        <v>70</v>
      </c>
      <c r="D71" t="s">
        <v>55</v>
      </c>
      <c r="E71" t="s">
        <v>56</v>
      </c>
      <c r="F71" t="str" cm="1">
        <f t="array" ref="F71">_xlfn.IFS(
B71="MAT100","PCS",
B71="MAT101","NOS",
B71="MAT102","LTR",
B71="MAT103","SETS",
B71="MAT104","PCS",
B71="MAT105","NOS",
B71="MAT106","KG",
B71="MAT107","LTR",
B71="MAT108","SETS",
B71="MAT109","LTR",
B71="MAT110","PCS",
B71="MAT111","PCS",
B71="MAT112","SETS",
B71="MAT113","LTR",
B71="MAT114","PCS",
B71="MAT115","NOS",
B71="MAT116","KG",
B71="MAT117","PCS",
B71="MAT118","SETS",
B71="MAT119","KG"
)</f>
        <v>LTR</v>
      </c>
      <c r="G71">
        <v>10</v>
      </c>
      <c r="H71">
        <v>2</v>
      </c>
      <c r="I71">
        <v>299</v>
      </c>
      <c r="J71">
        <v>2141</v>
      </c>
      <c r="K71" t="str">
        <f t="shared" si="6"/>
        <v>MAT113|Vendor 5</v>
      </c>
      <c r="L71" t="str">
        <f t="shared" si="7"/>
        <v>No Exception</v>
      </c>
      <c r="M71" t="str">
        <f t="shared" si="8"/>
        <v>No Exception</v>
      </c>
      <c r="N71" t="str">
        <f t="shared" si="5"/>
        <v>No Exception</v>
      </c>
      <c r="O71" t="str">
        <f t="shared" si="9"/>
        <v>Over + Under</v>
      </c>
    </row>
    <row r="72" spans="1:15" x14ac:dyDescent="0.35">
      <c r="A72" t="s">
        <v>149</v>
      </c>
      <c r="B72" t="s">
        <v>78</v>
      </c>
      <c r="C72" t="s">
        <v>79</v>
      </c>
      <c r="D72" t="s">
        <v>23</v>
      </c>
      <c r="E72" t="s">
        <v>24</v>
      </c>
      <c r="F72" t="str" cm="1">
        <f t="array" ref="F72">_xlfn.IFS(
B72="MAT100","PCS",
B72="MAT101","NOS",
B72="MAT102","LTR",
B72="MAT103","SETS",
B72="MAT104","PCS",
B72="MAT105","NOS",
B72="MAT106","KG",
B72="MAT107","LTR",
B72="MAT108","SETS",
B72="MAT109","LTR",
B72="MAT110","PCS",
B72="MAT111","PCS",
B72="MAT112","SETS",
B72="MAT113","LTR",
B72="MAT114","PCS",
B72="MAT115","NOS",
B72="MAT116","KG",
B72="MAT117","PCS",
B72="MAT118","SETS",
B72="MAT119","KG"
)</f>
        <v>PCS</v>
      </c>
      <c r="G72">
        <v>5</v>
      </c>
      <c r="H72">
        <v>5</v>
      </c>
      <c r="I72">
        <v>258</v>
      </c>
      <c r="J72">
        <v>3690</v>
      </c>
      <c r="K72" t="str">
        <f t="shared" si="6"/>
        <v>MAT111|Vendor 8</v>
      </c>
      <c r="L72" t="str">
        <f t="shared" si="7"/>
        <v>No Exception</v>
      </c>
      <c r="M72" t="str">
        <f t="shared" si="8"/>
        <v>No Exception</v>
      </c>
      <c r="N72" t="str">
        <f t="shared" si="5"/>
        <v>No Exception</v>
      </c>
      <c r="O72" t="str">
        <f t="shared" si="9"/>
        <v>Over + Under</v>
      </c>
    </row>
    <row r="73" spans="1:15" x14ac:dyDescent="0.35">
      <c r="A73" t="s">
        <v>150</v>
      </c>
      <c r="B73" t="s">
        <v>59</v>
      </c>
      <c r="C73" t="s">
        <v>60</v>
      </c>
      <c r="D73" t="s">
        <v>23</v>
      </c>
      <c r="E73" t="s">
        <v>24</v>
      </c>
      <c r="F73" t="str" cm="1">
        <f t="array" ref="F73">_xlfn.IFS(
B73="MAT100","PCS",
B73="MAT101","NOS",
B73="MAT102","LTR",
B73="MAT103","SETS",
B73="MAT104","PCS",
B73="MAT105","NOS",
B73="MAT106","KG",
B73="MAT107","LTR",
B73="MAT108","SETS",
B73="MAT109","LTR",
B73="MAT110","PCS",
B73="MAT111","PCS",
B73="MAT112","SETS",
B73="MAT113","LTR",
B73="MAT114","PCS",
B73="MAT115","NOS",
B73="MAT116","KG",
B73="MAT117","PCS",
B73="MAT118","SETS",
B73="MAT119","KG"
)</f>
        <v>NOS</v>
      </c>
      <c r="G73">
        <v>0</v>
      </c>
      <c r="H73">
        <v>0</v>
      </c>
      <c r="I73">
        <v>121</v>
      </c>
      <c r="J73">
        <v>3760</v>
      </c>
      <c r="K73" t="str">
        <f t="shared" si="6"/>
        <v>MAT115|Vendor 8</v>
      </c>
      <c r="L73" t="str">
        <f t="shared" si="7"/>
        <v>No Exception</v>
      </c>
      <c r="M73" t="str">
        <f t="shared" si="8"/>
        <v>No Exception</v>
      </c>
      <c r="N73" t="str">
        <f t="shared" si="5"/>
        <v>No Exception</v>
      </c>
      <c r="O73" t="str">
        <f t="shared" si="9"/>
        <v>No Tolerance</v>
      </c>
    </row>
    <row r="74" spans="1:15" x14ac:dyDescent="0.35">
      <c r="A74" t="s">
        <v>151</v>
      </c>
      <c r="B74" t="s">
        <v>59</v>
      </c>
      <c r="C74" t="s">
        <v>60</v>
      </c>
      <c r="D74" t="s">
        <v>28</v>
      </c>
      <c r="E74" t="s">
        <v>29</v>
      </c>
      <c r="F74" t="str" cm="1">
        <f t="array" ref="F74">_xlfn.IFS(
B74="MAT100","PCS",
B74="MAT101","NOS",
B74="MAT102","LTR",
B74="MAT103","SETS",
B74="MAT104","PCS",
B74="MAT105","NOS",
B74="MAT106","KG",
B74="MAT107","LTR",
B74="MAT108","SETS",
B74="MAT109","LTR",
B74="MAT110","PCS",
B74="MAT111","PCS",
B74="MAT112","SETS",
B74="MAT113","LTR",
B74="MAT114","PCS",
B74="MAT115","NOS",
B74="MAT116","KG",
B74="MAT117","PCS",
B74="MAT118","SETS",
B74="MAT119","KG"
)</f>
        <v>NOS</v>
      </c>
      <c r="G74">
        <v>5</v>
      </c>
      <c r="H74">
        <v>0</v>
      </c>
      <c r="I74">
        <v>55</v>
      </c>
      <c r="J74">
        <v>649</v>
      </c>
      <c r="K74" t="str">
        <f t="shared" si="6"/>
        <v>MAT115|Vendor 7</v>
      </c>
      <c r="L74" t="str">
        <f t="shared" si="7"/>
        <v>Exception</v>
      </c>
      <c r="M74" t="str">
        <f t="shared" si="8"/>
        <v>No Exception</v>
      </c>
      <c r="N74" t="str">
        <f t="shared" si="5"/>
        <v>Scenario B</v>
      </c>
      <c r="O74" t="str">
        <f t="shared" si="9"/>
        <v>Over Tolerance</v>
      </c>
    </row>
    <row r="75" spans="1:15" x14ac:dyDescent="0.35">
      <c r="A75" t="s">
        <v>152</v>
      </c>
      <c r="B75" t="s">
        <v>16</v>
      </c>
      <c r="C75" t="s">
        <v>17</v>
      </c>
      <c r="D75" t="s">
        <v>101</v>
      </c>
      <c r="E75" t="s">
        <v>102</v>
      </c>
      <c r="F75" t="str" cm="1">
        <f t="array" ref="F75">_xlfn.IFS(
B75="MAT100","PCS",
B75="MAT101","NOS",
B75="MAT102","LTR",
B75="MAT103","SETS",
B75="MAT104","PCS",
B75="MAT105","NOS",
B75="MAT106","KG",
B75="MAT107","LTR",
B75="MAT108","SETS",
B75="MAT109","LTR",
B75="MAT110","PCS",
B75="MAT111","PCS",
B75="MAT112","SETS",
B75="MAT113","LTR",
B75="MAT114","PCS",
B75="MAT115","NOS",
B75="MAT116","KG",
B75="MAT117","PCS",
B75="MAT118","SETS",
B75="MAT119","KG"
)</f>
        <v>PCS</v>
      </c>
      <c r="G75">
        <v>0</v>
      </c>
      <c r="H75">
        <v>0</v>
      </c>
      <c r="I75">
        <v>262</v>
      </c>
      <c r="J75">
        <v>433</v>
      </c>
      <c r="K75" t="str">
        <f t="shared" si="6"/>
        <v>MAT114|Vendor 9</v>
      </c>
      <c r="L75" t="str">
        <f t="shared" si="7"/>
        <v>No Exception</v>
      </c>
      <c r="M75" t="str">
        <f t="shared" si="8"/>
        <v>No Exception</v>
      </c>
      <c r="N75" t="str">
        <f t="shared" si="5"/>
        <v>No Exception</v>
      </c>
      <c r="O75" t="str">
        <f t="shared" si="9"/>
        <v>No Tolerance</v>
      </c>
    </row>
    <row r="76" spans="1:15" x14ac:dyDescent="0.35">
      <c r="A76" t="s">
        <v>153</v>
      </c>
      <c r="B76" t="s">
        <v>115</v>
      </c>
      <c r="C76" t="s">
        <v>116</v>
      </c>
      <c r="D76" t="s">
        <v>63</v>
      </c>
      <c r="E76" t="s">
        <v>64</v>
      </c>
      <c r="F76" t="str" cm="1">
        <f t="array" ref="F76">_xlfn.IFS(
B76="MAT100","PCS",
B76="MAT101","NOS",
B76="MAT102","LTR",
B76="MAT103","SETS",
B76="MAT104","PCS",
B76="MAT105","NOS",
B76="MAT106","KG",
B76="MAT107","LTR",
B76="MAT108","SETS",
B76="MAT109","LTR",
B76="MAT110","PCS",
B76="MAT111","PCS",
B76="MAT112","SETS",
B76="MAT113","LTR",
B76="MAT114","PCS",
B76="MAT115","NOS",
B76="MAT116","KG",
B76="MAT117","PCS",
B76="MAT118","SETS",
B76="MAT119","KG"
)</f>
        <v>PCS</v>
      </c>
      <c r="G76">
        <v>0</v>
      </c>
      <c r="H76">
        <v>0</v>
      </c>
      <c r="I76">
        <v>262</v>
      </c>
      <c r="J76">
        <v>755</v>
      </c>
      <c r="K76" t="str">
        <f t="shared" si="6"/>
        <v>MAT110|Vendor 12</v>
      </c>
      <c r="L76" t="str">
        <f t="shared" si="7"/>
        <v>No Exception</v>
      </c>
      <c r="M76" t="str">
        <f t="shared" si="8"/>
        <v>No Exception</v>
      </c>
      <c r="N76" t="str">
        <f t="shared" si="5"/>
        <v>No Exception</v>
      </c>
      <c r="O76" t="str">
        <f t="shared" si="9"/>
        <v>No Tolerance</v>
      </c>
    </row>
    <row r="77" spans="1:15" x14ac:dyDescent="0.35">
      <c r="A77" t="s">
        <v>154</v>
      </c>
      <c r="B77" t="s">
        <v>138</v>
      </c>
      <c r="C77" t="s">
        <v>139</v>
      </c>
      <c r="D77" t="s">
        <v>87</v>
      </c>
      <c r="E77" t="s">
        <v>88</v>
      </c>
      <c r="F77" t="str" cm="1">
        <f t="array" ref="F77">_xlfn.IFS(
B77="MAT100","PCS",
B77="MAT101","NOS",
B77="MAT102","LTR",
B77="MAT103","SETS",
B77="MAT104","PCS",
B77="MAT105","NOS",
B77="MAT106","KG",
B77="MAT107","LTR",
B77="MAT108","SETS",
B77="MAT109","LTR",
B77="MAT110","PCS",
B77="MAT111","PCS",
B77="MAT112","SETS",
B77="MAT113","LTR",
B77="MAT114","PCS",
B77="MAT115","NOS",
B77="MAT116","KG",
B77="MAT117","PCS",
B77="MAT118","SETS",
B77="MAT119","KG"
)</f>
        <v>PCS</v>
      </c>
      <c r="G77">
        <v>0</v>
      </c>
      <c r="H77">
        <v>2</v>
      </c>
      <c r="I77">
        <v>315</v>
      </c>
      <c r="J77">
        <v>997</v>
      </c>
      <c r="K77" t="str">
        <f t="shared" si="6"/>
        <v>MAT100|Vendor 2</v>
      </c>
      <c r="L77" t="str">
        <f t="shared" si="7"/>
        <v>Exception</v>
      </c>
      <c r="M77" t="str">
        <f t="shared" si="8"/>
        <v>No Exception</v>
      </c>
      <c r="N77" t="str">
        <f t="shared" si="5"/>
        <v>Scenario B</v>
      </c>
      <c r="O77" t="str">
        <f t="shared" si="9"/>
        <v>Under Tolerance</v>
      </c>
    </row>
    <row r="78" spans="1:15" x14ac:dyDescent="0.35">
      <c r="A78" t="s">
        <v>155</v>
      </c>
      <c r="B78" t="s">
        <v>21</v>
      </c>
      <c r="C78" t="s">
        <v>22</v>
      </c>
      <c r="D78" t="s">
        <v>95</v>
      </c>
      <c r="E78" t="s">
        <v>96</v>
      </c>
      <c r="F78" t="str" cm="1">
        <f t="array" ref="F78">_xlfn.IFS(
B78="MAT100","PCS",
B78="MAT101","NOS",
B78="MAT102","LTR",
B78="MAT103","SETS",
B78="MAT104","PCS",
B78="MAT105","NOS",
B78="MAT106","KG",
B78="MAT107","LTR",
B78="MAT108","SETS",
B78="MAT109","LTR",
B78="MAT110","PCS",
B78="MAT111","PCS",
B78="MAT112","SETS",
B78="MAT113","LTR",
B78="MAT114","PCS",
B78="MAT115","NOS",
B78="MAT116","KG",
B78="MAT117","PCS",
B78="MAT118","SETS",
B78="MAT119","KG"
)</f>
        <v>NOS</v>
      </c>
      <c r="G78">
        <v>0</v>
      </c>
      <c r="H78">
        <v>5</v>
      </c>
      <c r="I78">
        <v>404</v>
      </c>
      <c r="J78">
        <v>1911</v>
      </c>
      <c r="K78" t="str">
        <f t="shared" si="6"/>
        <v>MAT105|Vendor 11</v>
      </c>
      <c r="L78" t="str">
        <f t="shared" si="7"/>
        <v>Exception</v>
      </c>
      <c r="M78" t="str">
        <f t="shared" si="8"/>
        <v>Exception</v>
      </c>
      <c r="N78" t="str">
        <f t="shared" si="5"/>
        <v>Scenario A + B</v>
      </c>
      <c r="O78" t="str">
        <f t="shared" si="9"/>
        <v>Under Tolerance</v>
      </c>
    </row>
    <row r="79" spans="1:15" x14ac:dyDescent="0.35">
      <c r="A79" t="s">
        <v>156</v>
      </c>
      <c r="B79" t="s">
        <v>26</v>
      </c>
      <c r="C79" t="s">
        <v>27</v>
      </c>
      <c r="D79" t="s">
        <v>33</v>
      </c>
      <c r="E79" t="s">
        <v>34</v>
      </c>
      <c r="F79" t="str" cm="1">
        <f t="array" ref="F79">_xlfn.IFS(
B79="MAT100","PCS",
B79="MAT101","NOS",
B79="MAT102","LTR",
B79="MAT103","SETS",
B79="MAT104","PCS",
B79="MAT105","NOS",
B79="MAT106","KG",
B79="MAT107","LTR",
B79="MAT108","SETS",
B79="MAT109","LTR",
B79="MAT110","PCS",
B79="MAT111","PCS",
B79="MAT112","SETS",
B79="MAT113","LTR",
B79="MAT114","PCS",
B79="MAT115","NOS",
B79="MAT116","KG",
B79="MAT117","PCS",
B79="MAT118","SETS",
B79="MAT119","KG"
)</f>
        <v>SETS</v>
      </c>
      <c r="G79">
        <v>0</v>
      </c>
      <c r="H79">
        <v>0</v>
      </c>
      <c r="I79">
        <v>166</v>
      </c>
      <c r="J79">
        <v>2352</v>
      </c>
      <c r="K79" t="str">
        <f t="shared" si="6"/>
        <v>MAT108|Vendor 3</v>
      </c>
      <c r="L79" t="str">
        <f t="shared" si="7"/>
        <v>No Exception</v>
      </c>
      <c r="M79" t="str">
        <f t="shared" si="8"/>
        <v>No Exception</v>
      </c>
      <c r="N79" t="str">
        <f t="shared" si="5"/>
        <v>No Exception</v>
      </c>
      <c r="O79" t="str">
        <f t="shared" si="9"/>
        <v>No Tolerance</v>
      </c>
    </row>
    <row r="80" spans="1:15" x14ac:dyDescent="0.35">
      <c r="A80" t="s">
        <v>157</v>
      </c>
      <c r="B80" t="s">
        <v>47</v>
      </c>
      <c r="C80" t="s">
        <v>48</v>
      </c>
      <c r="D80" t="s">
        <v>23</v>
      </c>
      <c r="E80" t="s">
        <v>24</v>
      </c>
      <c r="F80" t="str" cm="1">
        <f t="array" ref="F80">_xlfn.IFS(
B80="MAT100","PCS",
B80="MAT101","NOS",
B80="MAT102","LTR",
B80="MAT103","SETS",
B80="MAT104","PCS",
B80="MAT105","NOS",
B80="MAT106","KG",
B80="MAT107","LTR",
B80="MAT108","SETS",
B80="MAT109","LTR",
B80="MAT110","PCS",
B80="MAT111","PCS",
B80="MAT112","SETS",
B80="MAT113","LTR",
B80="MAT114","PCS",
B80="MAT115","NOS",
B80="MAT116","KG",
B80="MAT117","PCS",
B80="MAT118","SETS",
B80="MAT119","KG"
)</f>
        <v>KG</v>
      </c>
      <c r="G80">
        <v>0</v>
      </c>
      <c r="H80">
        <v>2</v>
      </c>
      <c r="I80">
        <v>107</v>
      </c>
      <c r="J80">
        <v>4948</v>
      </c>
      <c r="K80" t="str">
        <f t="shared" si="6"/>
        <v>MAT116|Vendor 8</v>
      </c>
      <c r="L80" t="str">
        <f t="shared" si="7"/>
        <v>No Exception</v>
      </c>
      <c r="M80" t="str">
        <f t="shared" si="8"/>
        <v>No Exception</v>
      </c>
      <c r="N80" t="str">
        <f t="shared" si="5"/>
        <v>No Exception</v>
      </c>
      <c r="O80" t="str">
        <f t="shared" si="9"/>
        <v>Under Tolerance</v>
      </c>
    </row>
    <row r="81" spans="1:15" x14ac:dyDescent="0.35">
      <c r="A81" t="s">
        <v>158</v>
      </c>
      <c r="B81" t="s">
        <v>78</v>
      </c>
      <c r="C81" t="s">
        <v>79</v>
      </c>
      <c r="D81" t="s">
        <v>104</v>
      </c>
      <c r="E81" t="s">
        <v>105</v>
      </c>
      <c r="F81" t="str" cm="1">
        <f t="array" ref="F81">_xlfn.IFS(
B81="MAT100","PCS",
B81="MAT101","NOS",
B81="MAT102","LTR",
B81="MAT103","SETS",
B81="MAT104","PCS",
B81="MAT105","NOS",
B81="MAT106","KG",
B81="MAT107","LTR",
B81="MAT108","SETS",
B81="MAT109","LTR",
B81="MAT110","PCS",
B81="MAT111","PCS",
B81="MAT112","SETS",
B81="MAT113","LTR",
B81="MAT114","PCS",
B81="MAT115","NOS",
B81="MAT116","KG",
B81="MAT117","PCS",
B81="MAT118","SETS",
B81="MAT119","KG"
)</f>
        <v>PCS</v>
      </c>
      <c r="G81">
        <v>0</v>
      </c>
      <c r="H81">
        <v>0</v>
      </c>
      <c r="I81">
        <v>102</v>
      </c>
      <c r="J81">
        <v>1591</v>
      </c>
      <c r="K81" t="str">
        <f t="shared" si="6"/>
        <v>MAT111|Vendor 1</v>
      </c>
      <c r="L81" t="str">
        <f t="shared" si="7"/>
        <v>No Exception</v>
      </c>
      <c r="M81" t="str">
        <f t="shared" si="8"/>
        <v>No Exception</v>
      </c>
      <c r="N81" t="str">
        <f t="shared" si="5"/>
        <v>No Exception</v>
      </c>
      <c r="O81" t="str">
        <f t="shared" si="9"/>
        <v>No Tolerance</v>
      </c>
    </row>
    <row r="82" spans="1:15" x14ac:dyDescent="0.35">
      <c r="A82" t="s">
        <v>159</v>
      </c>
      <c r="B82" t="s">
        <v>26</v>
      </c>
      <c r="C82" t="s">
        <v>27</v>
      </c>
      <c r="D82" t="s">
        <v>95</v>
      </c>
      <c r="E82" t="s">
        <v>96</v>
      </c>
      <c r="F82" t="str" cm="1">
        <f t="array" ref="F82">_xlfn.IFS(
B82="MAT100","PCS",
B82="MAT101","NOS",
B82="MAT102","LTR",
B82="MAT103","SETS",
B82="MAT104","PCS",
B82="MAT105","NOS",
B82="MAT106","KG",
B82="MAT107","LTR",
B82="MAT108","SETS",
B82="MAT109","LTR",
B82="MAT110","PCS",
B82="MAT111","PCS",
B82="MAT112","SETS",
B82="MAT113","LTR",
B82="MAT114","PCS",
B82="MAT115","NOS",
B82="MAT116","KG",
B82="MAT117","PCS",
B82="MAT118","SETS",
B82="MAT119","KG"
)</f>
        <v>SETS</v>
      </c>
      <c r="G82">
        <v>0</v>
      </c>
      <c r="H82">
        <v>5</v>
      </c>
      <c r="I82">
        <v>168</v>
      </c>
      <c r="J82">
        <v>3187</v>
      </c>
      <c r="K82" t="str">
        <f t="shared" si="6"/>
        <v>MAT108|Vendor 11</v>
      </c>
      <c r="L82" t="str">
        <f t="shared" si="7"/>
        <v>Exception</v>
      </c>
      <c r="M82" t="str">
        <f t="shared" si="8"/>
        <v>No Exception</v>
      </c>
      <c r="N82" t="str">
        <f t="shared" si="5"/>
        <v>Scenario B</v>
      </c>
      <c r="O82" t="str">
        <f t="shared" si="9"/>
        <v>Under Tolerance</v>
      </c>
    </row>
    <row r="83" spans="1:15" x14ac:dyDescent="0.35">
      <c r="A83" t="s">
        <v>160</v>
      </c>
      <c r="B83" t="s">
        <v>47</v>
      </c>
      <c r="C83" t="s">
        <v>48</v>
      </c>
      <c r="D83" t="s">
        <v>104</v>
      </c>
      <c r="E83" t="s">
        <v>105</v>
      </c>
      <c r="F83" t="str" cm="1">
        <f t="array" ref="F83">_xlfn.IFS(
B83="MAT100","PCS",
B83="MAT101","NOS",
B83="MAT102","LTR",
B83="MAT103","SETS",
B83="MAT104","PCS",
B83="MAT105","NOS",
B83="MAT106","KG",
B83="MAT107","LTR",
B83="MAT108","SETS",
B83="MAT109","LTR",
B83="MAT110","PCS",
B83="MAT111","PCS",
B83="MAT112","SETS",
B83="MAT113","LTR",
B83="MAT114","PCS",
B83="MAT115","NOS",
B83="MAT116","KG",
B83="MAT117","PCS",
B83="MAT118","SETS",
B83="MAT119","KG"
)</f>
        <v>KG</v>
      </c>
      <c r="G83">
        <v>0</v>
      </c>
      <c r="H83">
        <v>0</v>
      </c>
      <c r="I83">
        <v>326</v>
      </c>
      <c r="J83">
        <v>3047</v>
      </c>
      <c r="K83" t="str">
        <f t="shared" si="6"/>
        <v>MAT116|Vendor 1</v>
      </c>
      <c r="L83" t="str">
        <f t="shared" si="7"/>
        <v>Exception</v>
      </c>
      <c r="M83" t="str">
        <f t="shared" si="8"/>
        <v>No Exception</v>
      </c>
      <c r="N83" t="str">
        <f t="shared" si="5"/>
        <v>Scenario B</v>
      </c>
      <c r="O83" t="str">
        <f t="shared" si="9"/>
        <v>No Tolerance</v>
      </c>
    </row>
    <row r="84" spans="1:15" x14ac:dyDescent="0.35">
      <c r="A84" t="s">
        <v>161</v>
      </c>
      <c r="B84" t="s">
        <v>50</v>
      </c>
      <c r="C84" t="s">
        <v>51</v>
      </c>
      <c r="D84" t="s">
        <v>63</v>
      </c>
      <c r="E84" t="s">
        <v>64</v>
      </c>
      <c r="F84" t="str" cm="1">
        <f t="array" ref="F84">_xlfn.IFS(
B84="MAT100","PCS",
B84="MAT101","NOS",
B84="MAT102","LTR",
B84="MAT103","SETS",
B84="MAT104","PCS",
B84="MAT105","NOS",
B84="MAT106","KG",
B84="MAT107","LTR",
B84="MAT108","SETS",
B84="MAT109","LTR",
B84="MAT110","PCS",
B84="MAT111","PCS",
B84="MAT112","SETS",
B84="MAT113","LTR",
B84="MAT114","PCS",
B84="MAT115","NOS",
B84="MAT116","KG",
B84="MAT117","PCS",
B84="MAT118","SETS",
B84="MAT119","KG"
)</f>
        <v>SETS</v>
      </c>
      <c r="G84">
        <v>10</v>
      </c>
      <c r="H84">
        <v>5</v>
      </c>
      <c r="I84">
        <v>452</v>
      </c>
      <c r="J84">
        <v>956</v>
      </c>
      <c r="K84" t="str">
        <f t="shared" si="6"/>
        <v>MAT118|Vendor 12</v>
      </c>
      <c r="L84" t="str">
        <f t="shared" si="7"/>
        <v>Exception</v>
      </c>
      <c r="M84" t="str">
        <f t="shared" si="8"/>
        <v>No Exception</v>
      </c>
      <c r="N84" t="str">
        <f t="shared" si="5"/>
        <v>Scenario B</v>
      </c>
      <c r="O84" t="str">
        <f t="shared" si="9"/>
        <v>Over + Under</v>
      </c>
    </row>
    <row r="85" spans="1:15" x14ac:dyDescent="0.35">
      <c r="A85" t="s">
        <v>162</v>
      </c>
      <c r="B85" t="s">
        <v>78</v>
      </c>
      <c r="C85" t="s">
        <v>79</v>
      </c>
      <c r="D85" t="s">
        <v>55</v>
      </c>
      <c r="E85" t="s">
        <v>56</v>
      </c>
      <c r="F85" t="str" cm="1">
        <f t="array" ref="F85">_xlfn.IFS(
B85="MAT100","PCS",
B85="MAT101","NOS",
B85="MAT102","LTR",
B85="MAT103","SETS",
B85="MAT104","PCS",
B85="MAT105","NOS",
B85="MAT106","KG",
B85="MAT107","LTR",
B85="MAT108","SETS",
B85="MAT109","LTR",
B85="MAT110","PCS",
B85="MAT111","PCS",
B85="MAT112","SETS",
B85="MAT113","LTR",
B85="MAT114","PCS",
B85="MAT115","NOS",
B85="MAT116","KG",
B85="MAT117","PCS",
B85="MAT118","SETS",
B85="MAT119","KG"
)</f>
        <v>PCS</v>
      </c>
      <c r="G85">
        <v>10</v>
      </c>
      <c r="H85">
        <v>0</v>
      </c>
      <c r="I85">
        <v>193</v>
      </c>
      <c r="J85">
        <v>3122</v>
      </c>
      <c r="K85" t="str">
        <f t="shared" si="6"/>
        <v>MAT111|Vendor 5</v>
      </c>
      <c r="L85" t="str">
        <f t="shared" si="7"/>
        <v>Exception</v>
      </c>
      <c r="M85" t="str">
        <f t="shared" si="8"/>
        <v>Exception</v>
      </c>
      <c r="N85" t="str">
        <f t="shared" si="5"/>
        <v>Scenario A + B</v>
      </c>
      <c r="O85" t="str">
        <f t="shared" si="9"/>
        <v>Over Tolerance</v>
      </c>
    </row>
    <row r="86" spans="1:15" x14ac:dyDescent="0.35">
      <c r="A86" t="s">
        <v>163</v>
      </c>
      <c r="B86" t="s">
        <v>115</v>
      </c>
      <c r="C86" t="s">
        <v>116</v>
      </c>
      <c r="D86" t="s">
        <v>87</v>
      </c>
      <c r="E86" t="s">
        <v>88</v>
      </c>
      <c r="F86" t="str" cm="1">
        <f t="array" ref="F86">_xlfn.IFS(
B86="MAT100","PCS",
B86="MAT101","NOS",
B86="MAT102","LTR",
B86="MAT103","SETS",
B86="MAT104","PCS",
B86="MAT105","NOS",
B86="MAT106","KG",
B86="MAT107","LTR",
B86="MAT108","SETS",
B86="MAT109","LTR",
B86="MAT110","PCS",
B86="MAT111","PCS",
B86="MAT112","SETS",
B86="MAT113","LTR",
B86="MAT114","PCS",
B86="MAT115","NOS",
B86="MAT116","KG",
B86="MAT117","PCS",
B86="MAT118","SETS",
B86="MAT119","KG"
)</f>
        <v>PCS</v>
      </c>
      <c r="G86">
        <v>0</v>
      </c>
      <c r="H86">
        <v>2</v>
      </c>
      <c r="I86">
        <v>227</v>
      </c>
      <c r="J86">
        <v>1984</v>
      </c>
      <c r="K86" t="str">
        <f t="shared" si="6"/>
        <v>MAT110|Vendor 2</v>
      </c>
      <c r="L86" t="str">
        <f t="shared" si="7"/>
        <v>Exception</v>
      </c>
      <c r="M86" t="str">
        <f t="shared" si="8"/>
        <v>Exception</v>
      </c>
      <c r="N86" t="str">
        <f t="shared" si="5"/>
        <v>Scenario A + B</v>
      </c>
      <c r="O86" t="str">
        <f t="shared" si="9"/>
        <v>Under Tolerance</v>
      </c>
    </row>
    <row r="87" spans="1:15" x14ac:dyDescent="0.35">
      <c r="A87" t="s">
        <v>164</v>
      </c>
      <c r="B87" t="s">
        <v>47</v>
      </c>
      <c r="C87" t="s">
        <v>48</v>
      </c>
      <c r="D87" t="s">
        <v>55</v>
      </c>
      <c r="E87" t="s">
        <v>56</v>
      </c>
      <c r="F87" t="str" cm="1">
        <f t="array" ref="F87">_xlfn.IFS(
B87="MAT100","PCS",
B87="MAT101","NOS",
B87="MAT102","LTR",
B87="MAT103","SETS",
B87="MAT104","PCS",
B87="MAT105","NOS",
B87="MAT106","KG",
B87="MAT107","LTR",
B87="MAT108","SETS",
B87="MAT109","LTR",
B87="MAT110","PCS",
B87="MAT111","PCS",
B87="MAT112","SETS",
B87="MAT113","LTR",
B87="MAT114","PCS",
B87="MAT115","NOS",
B87="MAT116","KG",
B87="MAT117","PCS",
B87="MAT118","SETS",
B87="MAT119","KG"
)</f>
        <v>KG</v>
      </c>
      <c r="G87">
        <v>0</v>
      </c>
      <c r="H87">
        <v>5</v>
      </c>
      <c r="I87">
        <v>159</v>
      </c>
      <c r="J87">
        <v>4899</v>
      </c>
      <c r="K87" t="str">
        <f t="shared" si="6"/>
        <v>MAT116|Vendor 5</v>
      </c>
      <c r="L87" t="str">
        <f t="shared" si="7"/>
        <v>No Exception</v>
      </c>
      <c r="M87" t="str">
        <f t="shared" si="8"/>
        <v>No Exception</v>
      </c>
      <c r="N87" t="str">
        <f t="shared" si="5"/>
        <v>No Exception</v>
      </c>
      <c r="O87" t="str">
        <f t="shared" si="9"/>
        <v>Under Tolerance</v>
      </c>
    </row>
    <row r="88" spans="1:15" x14ac:dyDescent="0.35">
      <c r="A88" t="s">
        <v>165</v>
      </c>
      <c r="B88" t="s">
        <v>42</v>
      </c>
      <c r="C88" t="s">
        <v>43</v>
      </c>
      <c r="D88" t="s">
        <v>33</v>
      </c>
      <c r="E88" t="s">
        <v>34</v>
      </c>
      <c r="F88" t="str" cm="1">
        <f t="array" ref="F88">_xlfn.IFS(
B88="MAT100","PCS",
B88="MAT101","NOS",
B88="MAT102","LTR",
B88="MAT103","SETS",
B88="MAT104","PCS",
B88="MAT105","NOS",
B88="MAT106","KG",
B88="MAT107","LTR",
B88="MAT108","SETS",
B88="MAT109","LTR",
B88="MAT110","PCS",
B88="MAT111","PCS",
B88="MAT112","SETS",
B88="MAT113","LTR",
B88="MAT114","PCS",
B88="MAT115","NOS",
B88="MAT116","KG",
B88="MAT117","PCS",
B88="MAT118","SETS",
B88="MAT119","KG"
)</f>
        <v>LTR</v>
      </c>
      <c r="G88">
        <v>0</v>
      </c>
      <c r="H88">
        <v>0</v>
      </c>
      <c r="I88">
        <v>149</v>
      </c>
      <c r="J88">
        <v>3640</v>
      </c>
      <c r="K88" t="str">
        <f t="shared" si="6"/>
        <v>MAT107|Vendor 3</v>
      </c>
      <c r="L88" t="str">
        <f t="shared" si="7"/>
        <v>Exception</v>
      </c>
      <c r="M88" t="str">
        <f t="shared" si="8"/>
        <v>No Exception</v>
      </c>
      <c r="N88" t="str">
        <f t="shared" si="5"/>
        <v>Scenario B</v>
      </c>
      <c r="O88" t="str">
        <f t="shared" si="9"/>
        <v>No Tolerance</v>
      </c>
    </row>
    <row r="89" spans="1:15" x14ac:dyDescent="0.35">
      <c r="A89" t="s">
        <v>166</v>
      </c>
      <c r="B89" t="s">
        <v>91</v>
      </c>
      <c r="C89" t="s">
        <v>92</v>
      </c>
      <c r="D89" t="s">
        <v>33</v>
      </c>
      <c r="E89" t="s">
        <v>34</v>
      </c>
      <c r="F89" t="str" cm="1">
        <f t="array" ref="F89">_xlfn.IFS(
B89="MAT100","PCS",
B89="MAT101","NOS",
B89="MAT102","LTR",
B89="MAT103","SETS",
B89="MAT104","PCS",
B89="MAT105","NOS",
B89="MAT106","KG",
B89="MAT107","LTR",
B89="MAT108","SETS",
B89="MAT109","LTR",
B89="MAT110","PCS",
B89="MAT111","PCS",
B89="MAT112","SETS",
B89="MAT113","LTR",
B89="MAT114","PCS",
B89="MAT115","NOS",
B89="MAT116","KG",
B89="MAT117","PCS",
B89="MAT118","SETS",
B89="MAT119","KG"
)</f>
        <v>NOS</v>
      </c>
      <c r="G89">
        <v>10</v>
      </c>
      <c r="H89">
        <v>2</v>
      </c>
      <c r="I89">
        <v>251</v>
      </c>
      <c r="J89">
        <v>1961</v>
      </c>
      <c r="K89" t="str">
        <f t="shared" si="6"/>
        <v>MAT101|Vendor 3</v>
      </c>
      <c r="L89" t="str">
        <f t="shared" si="7"/>
        <v>Exception</v>
      </c>
      <c r="M89" t="str">
        <f t="shared" si="8"/>
        <v>No Exception</v>
      </c>
      <c r="N89" t="str">
        <f t="shared" si="5"/>
        <v>Scenario B</v>
      </c>
      <c r="O89" t="str">
        <f t="shared" si="9"/>
        <v>Over + Under</v>
      </c>
    </row>
    <row r="90" spans="1:15" x14ac:dyDescent="0.35">
      <c r="A90" t="s">
        <v>167</v>
      </c>
      <c r="B90" t="s">
        <v>138</v>
      </c>
      <c r="C90" t="s">
        <v>139</v>
      </c>
      <c r="D90" t="s">
        <v>104</v>
      </c>
      <c r="E90" t="s">
        <v>105</v>
      </c>
      <c r="F90" t="str" cm="1">
        <f t="array" ref="F90">_xlfn.IFS(
B90="MAT100","PCS",
B90="MAT101","NOS",
B90="MAT102","LTR",
B90="MAT103","SETS",
B90="MAT104","PCS",
B90="MAT105","NOS",
B90="MAT106","KG",
B90="MAT107","LTR",
B90="MAT108","SETS",
B90="MAT109","LTR",
B90="MAT110","PCS",
B90="MAT111","PCS",
B90="MAT112","SETS",
B90="MAT113","LTR",
B90="MAT114","PCS",
B90="MAT115","NOS",
B90="MAT116","KG",
B90="MAT117","PCS",
B90="MAT118","SETS",
B90="MAT119","KG"
)</f>
        <v>PCS</v>
      </c>
      <c r="G90">
        <v>10</v>
      </c>
      <c r="H90">
        <v>0</v>
      </c>
      <c r="I90">
        <v>2</v>
      </c>
      <c r="J90">
        <v>4745</v>
      </c>
      <c r="K90" t="str">
        <f t="shared" si="6"/>
        <v>MAT100|Vendor 1</v>
      </c>
      <c r="L90" t="str">
        <f t="shared" si="7"/>
        <v>Exception</v>
      </c>
      <c r="M90" t="str">
        <f t="shared" si="8"/>
        <v>No Exception</v>
      </c>
      <c r="N90" t="str">
        <f t="shared" si="5"/>
        <v>Scenario B</v>
      </c>
      <c r="O90" t="str">
        <f t="shared" si="9"/>
        <v>Over Tolerance</v>
      </c>
    </row>
    <row r="91" spans="1:15" x14ac:dyDescent="0.35">
      <c r="A91" t="s">
        <v>168</v>
      </c>
      <c r="B91" t="s">
        <v>36</v>
      </c>
      <c r="C91" t="s">
        <v>37</v>
      </c>
      <c r="D91" t="s">
        <v>38</v>
      </c>
      <c r="E91" t="s">
        <v>39</v>
      </c>
      <c r="F91" t="str" cm="1">
        <f t="array" ref="F91">_xlfn.IFS(
B91="MAT100","PCS",
B91="MAT101","NOS",
B91="MAT102","LTR",
B91="MAT103","SETS",
B91="MAT104","PCS",
B91="MAT105","NOS",
B91="MAT106","KG",
B91="MAT107","LTR",
B91="MAT108","SETS",
B91="MAT109","LTR",
B91="MAT110","PCS",
B91="MAT111","PCS",
B91="MAT112","SETS",
B91="MAT113","LTR",
B91="MAT114","PCS",
B91="MAT115","NOS",
B91="MAT116","KG",
B91="MAT117","PCS",
B91="MAT118","SETS",
B91="MAT119","KG"
)</f>
        <v>PCS</v>
      </c>
      <c r="G91">
        <v>0</v>
      </c>
      <c r="H91">
        <v>0</v>
      </c>
      <c r="I91">
        <v>212</v>
      </c>
      <c r="J91">
        <v>4880</v>
      </c>
      <c r="K91" t="str">
        <f t="shared" si="6"/>
        <v>MAT117|Vendor 4</v>
      </c>
      <c r="L91" t="str">
        <f t="shared" si="7"/>
        <v>No Exception</v>
      </c>
      <c r="M91" t="str">
        <f t="shared" si="8"/>
        <v>Exception</v>
      </c>
      <c r="N91" t="str">
        <f t="shared" si="5"/>
        <v>Scenario A</v>
      </c>
      <c r="O91" t="str">
        <f t="shared" si="9"/>
        <v>No Tolerance</v>
      </c>
    </row>
    <row r="92" spans="1:15" x14ac:dyDescent="0.35">
      <c r="A92" t="s">
        <v>169</v>
      </c>
      <c r="B92" t="s">
        <v>110</v>
      </c>
      <c r="C92" t="s">
        <v>111</v>
      </c>
      <c r="D92" t="s">
        <v>23</v>
      </c>
      <c r="E92" t="s">
        <v>24</v>
      </c>
      <c r="F92" t="str" cm="1">
        <f t="array" ref="F92">_xlfn.IFS(
B92="MAT100","PCS",
B92="MAT101","NOS",
B92="MAT102","LTR",
B92="MAT103","SETS",
B92="MAT104","PCS",
B92="MAT105","NOS",
B92="MAT106","KG",
B92="MAT107","LTR",
B92="MAT108","SETS",
B92="MAT109","LTR",
B92="MAT110","PCS",
B92="MAT111","PCS",
B92="MAT112","SETS",
B92="MAT113","LTR",
B92="MAT114","PCS",
B92="MAT115","NOS",
B92="MAT116","KG",
B92="MAT117","PCS",
B92="MAT118","SETS",
B92="MAT119","KG"
)</f>
        <v>KG</v>
      </c>
      <c r="G92">
        <v>0</v>
      </c>
      <c r="H92">
        <v>0</v>
      </c>
      <c r="I92">
        <v>82</v>
      </c>
      <c r="J92">
        <v>1203</v>
      </c>
      <c r="K92" t="str">
        <f t="shared" si="6"/>
        <v>MAT119|Vendor 8</v>
      </c>
      <c r="L92" t="str">
        <f t="shared" si="7"/>
        <v>Exception</v>
      </c>
      <c r="M92" t="str">
        <f t="shared" si="8"/>
        <v>No Exception</v>
      </c>
      <c r="N92" t="str">
        <f t="shared" si="5"/>
        <v>Scenario B</v>
      </c>
      <c r="O92" t="str">
        <f t="shared" si="9"/>
        <v>No Tolerance</v>
      </c>
    </row>
    <row r="93" spans="1:15" x14ac:dyDescent="0.35">
      <c r="A93" t="s">
        <v>170</v>
      </c>
      <c r="B93" t="s">
        <v>16</v>
      </c>
      <c r="C93" t="s">
        <v>17</v>
      </c>
      <c r="D93" t="s">
        <v>87</v>
      </c>
      <c r="E93" t="s">
        <v>88</v>
      </c>
      <c r="F93" t="str" cm="1">
        <f t="array" ref="F93">_xlfn.IFS(
B93="MAT100","PCS",
B93="MAT101","NOS",
B93="MAT102","LTR",
B93="MAT103","SETS",
B93="MAT104","PCS",
B93="MAT105","NOS",
B93="MAT106","KG",
B93="MAT107","LTR",
B93="MAT108","SETS",
B93="MAT109","LTR",
B93="MAT110","PCS",
B93="MAT111","PCS",
B93="MAT112","SETS",
B93="MAT113","LTR",
B93="MAT114","PCS",
B93="MAT115","NOS",
B93="MAT116","KG",
B93="MAT117","PCS",
B93="MAT118","SETS",
B93="MAT119","KG"
)</f>
        <v>PCS</v>
      </c>
      <c r="G93">
        <v>5</v>
      </c>
      <c r="H93">
        <v>0</v>
      </c>
      <c r="I93">
        <v>33</v>
      </c>
      <c r="J93">
        <v>1285</v>
      </c>
      <c r="K93" t="str">
        <f t="shared" si="6"/>
        <v>MAT114|Vendor 2</v>
      </c>
      <c r="L93" t="str">
        <f t="shared" si="7"/>
        <v>Exception</v>
      </c>
      <c r="M93" t="str">
        <f t="shared" si="8"/>
        <v>No Exception</v>
      </c>
      <c r="N93" t="str">
        <f t="shared" si="5"/>
        <v>Scenario B</v>
      </c>
      <c r="O93" t="str">
        <f t="shared" si="9"/>
        <v>Over Tolerance</v>
      </c>
    </row>
    <row r="94" spans="1:15" x14ac:dyDescent="0.35">
      <c r="A94" t="s">
        <v>171</v>
      </c>
      <c r="B94" t="s">
        <v>138</v>
      </c>
      <c r="C94" t="s">
        <v>139</v>
      </c>
      <c r="D94" t="s">
        <v>104</v>
      </c>
      <c r="E94" t="s">
        <v>105</v>
      </c>
      <c r="F94" t="str" cm="1">
        <f t="array" ref="F94">_xlfn.IFS(
B94="MAT100","PCS",
B94="MAT101","NOS",
B94="MAT102","LTR",
B94="MAT103","SETS",
B94="MAT104","PCS",
B94="MAT105","NOS",
B94="MAT106","KG",
B94="MAT107","LTR",
B94="MAT108","SETS",
B94="MAT109","LTR",
B94="MAT110","PCS",
B94="MAT111","PCS",
B94="MAT112","SETS",
B94="MAT113","LTR",
B94="MAT114","PCS",
B94="MAT115","NOS",
B94="MAT116","KG",
B94="MAT117","PCS",
B94="MAT118","SETS",
B94="MAT119","KG"
)</f>
        <v>PCS</v>
      </c>
      <c r="G94">
        <v>0</v>
      </c>
      <c r="H94">
        <v>0</v>
      </c>
      <c r="I94">
        <v>331</v>
      </c>
      <c r="J94">
        <v>4706</v>
      </c>
      <c r="K94" t="str">
        <f t="shared" si="6"/>
        <v>MAT100|Vendor 1</v>
      </c>
      <c r="L94" t="str">
        <f t="shared" si="7"/>
        <v>No Exception</v>
      </c>
      <c r="M94" t="str">
        <f t="shared" si="8"/>
        <v>No Exception</v>
      </c>
      <c r="N94" t="str">
        <f t="shared" si="5"/>
        <v>No Exception</v>
      </c>
      <c r="O94" t="str">
        <f t="shared" si="9"/>
        <v>No Tolerance</v>
      </c>
    </row>
    <row r="95" spans="1:15" x14ac:dyDescent="0.35">
      <c r="A95" t="s">
        <v>172</v>
      </c>
      <c r="B95" t="s">
        <v>110</v>
      </c>
      <c r="C95" t="s">
        <v>111</v>
      </c>
      <c r="D95" t="s">
        <v>101</v>
      </c>
      <c r="E95" t="s">
        <v>102</v>
      </c>
      <c r="F95" t="str" cm="1">
        <f t="array" ref="F95">_xlfn.IFS(
B95="MAT100","PCS",
B95="MAT101","NOS",
B95="MAT102","LTR",
B95="MAT103","SETS",
B95="MAT104","PCS",
B95="MAT105","NOS",
B95="MAT106","KG",
B95="MAT107","LTR",
B95="MAT108","SETS",
B95="MAT109","LTR",
B95="MAT110","PCS",
B95="MAT111","PCS",
B95="MAT112","SETS",
B95="MAT113","LTR",
B95="MAT114","PCS",
B95="MAT115","NOS",
B95="MAT116","KG",
B95="MAT117","PCS",
B95="MAT118","SETS",
B95="MAT119","KG"
)</f>
        <v>KG</v>
      </c>
      <c r="G95">
        <v>0</v>
      </c>
      <c r="H95">
        <v>0</v>
      </c>
      <c r="I95">
        <v>376</v>
      </c>
      <c r="J95">
        <v>4137</v>
      </c>
      <c r="K95" t="str">
        <f t="shared" si="6"/>
        <v>MAT119|Vendor 9</v>
      </c>
      <c r="L95" t="str">
        <f t="shared" si="7"/>
        <v>Exception</v>
      </c>
      <c r="M95" t="str">
        <f t="shared" si="8"/>
        <v>No Exception</v>
      </c>
      <c r="N95" t="str">
        <f t="shared" si="5"/>
        <v>Scenario B</v>
      </c>
      <c r="O95" t="str">
        <f t="shared" si="9"/>
        <v>No Tolerance</v>
      </c>
    </row>
    <row r="96" spans="1:15" x14ac:dyDescent="0.35">
      <c r="A96" t="s">
        <v>173</v>
      </c>
      <c r="B96" t="s">
        <v>91</v>
      </c>
      <c r="C96" t="s">
        <v>92</v>
      </c>
      <c r="D96" t="s">
        <v>101</v>
      </c>
      <c r="E96" t="s">
        <v>102</v>
      </c>
      <c r="F96" t="str" cm="1">
        <f t="array" ref="F96">_xlfn.IFS(
B96="MAT100","PCS",
B96="MAT101","NOS",
B96="MAT102","LTR",
B96="MAT103","SETS",
B96="MAT104","PCS",
B96="MAT105","NOS",
B96="MAT106","KG",
B96="MAT107","LTR",
B96="MAT108","SETS",
B96="MAT109","LTR",
B96="MAT110","PCS",
B96="MAT111","PCS",
B96="MAT112","SETS",
B96="MAT113","LTR",
B96="MAT114","PCS",
B96="MAT115","NOS",
B96="MAT116","KG",
B96="MAT117","PCS",
B96="MAT118","SETS",
B96="MAT119","KG"
)</f>
        <v>NOS</v>
      </c>
      <c r="G96">
        <v>0</v>
      </c>
      <c r="H96">
        <v>0</v>
      </c>
      <c r="I96">
        <v>13</v>
      </c>
      <c r="J96">
        <v>3425</v>
      </c>
      <c r="K96" t="str">
        <f t="shared" si="6"/>
        <v>MAT101|Vendor 9</v>
      </c>
      <c r="L96" t="str">
        <f t="shared" si="7"/>
        <v>No Exception</v>
      </c>
      <c r="M96" t="str">
        <f t="shared" si="8"/>
        <v>No Exception</v>
      </c>
      <c r="N96" t="str">
        <f t="shared" si="5"/>
        <v>No Exception</v>
      </c>
      <c r="O96" t="str">
        <f t="shared" si="9"/>
        <v>No Tolerance</v>
      </c>
    </row>
    <row r="97" spans="1:15" x14ac:dyDescent="0.35">
      <c r="A97" t="s">
        <v>174</v>
      </c>
      <c r="B97" t="s">
        <v>31</v>
      </c>
      <c r="C97" t="s">
        <v>32</v>
      </c>
      <c r="D97" t="s">
        <v>104</v>
      </c>
      <c r="E97" t="s">
        <v>105</v>
      </c>
      <c r="F97" t="str" cm="1">
        <f t="array" ref="F97">_xlfn.IFS(
B97="MAT100","PCS",
B97="MAT101","NOS",
B97="MAT102","LTR",
B97="MAT103","SETS",
B97="MAT104","PCS",
B97="MAT105","NOS",
B97="MAT106","KG",
B97="MAT107","LTR",
B97="MAT108","SETS",
B97="MAT109","LTR",
B97="MAT110","PCS",
B97="MAT111","PCS",
B97="MAT112","SETS",
B97="MAT113","LTR",
B97="MAT114","PCS",
B97="MAT115","NOS",
B97="MAT116","KG",
B97="MAT117","PCS",
B97="MAT118","SETS",
B97="MAT119","KG"
)</f>
        <v>SETS</v>
      </c>
      <c r="G97">
        <v>0</v>
      </c>
      <c r="H97">
        <v>0</v>
      </c>
      <c r="I97">
        <v>314</v>
      </c>
      <c r="J97">
        <v>4613</v>
      </c>
      <c r="K97" t="str">
        <f t="shared" si="6"/>
        <v>MAT103|Vendor 1</v>
      </c>
      <c r="L97" t="str">
        <f t="shared" si="7"/>
        <v>No Exception</v>
      </c>
      <c r="M97" t="str">
        <f t="shared" si="8"/>
        <v>No Exception</v>
      </c>
      <c r="N97" t="str">
        <f t="shared" si="5"/>
        <v>No Exception</v>
      </c>
      <c r="O97" t="str">
        <f t="shared" si="9"/>
        <v>No Tolerance</v>
      </c>
    </row>
    <row r="98" spans="1:15" x14ac:dyDescent="0.35">
      <c r="A98" t="s">
        <v>175</v>
      </c>
      <c r="B98" t="s">
        <v>110</v>
      </c>
      <c r="C98" t="s">
        <v>111</v>
      </c>
      <c r="D98" t="s">
        <v>95</v>
      </c>
      <c r="E98" t="s">
        <v>96</v>
      </c>
      <c r="F98" t="str" cm="1">
        <f t="array" ref="F98">_xlfn.IFS(
B98="MAT100","PCS",
B98="MAT101","NOS",
B98="MAT102","LTR",
B98="MAT103","SETS",
B98="MAT104","PCS",
B98="MAT105","NOS",
B98="MAT106","KG",
B98="MAT107","LTR",
B98="MAT108","SETS",
B98="MAT109","LTR",
B98="MAT110","PCS",
B98="MAT111","PCS",
B98="MAT112","SETS",
B98="MAT113","LTR",
B98="MAT114","PCS",
B98="MAT115","NOS",
B98="MAT116","KG",
B98="MAT117","PCS",
B98="MAT118","SETS",
B98="MAT119","KG"
)</f>
        <v>KG</v>
      </c>
      <c r="G98">
        <v>0</v>
      </c>
      <c r="H98">
        <v>0</v>
      </c>
      <c r="I98">
        <v>260</v>
      </c>
      <c r="J98">
        <v>3501</v>
      </c>
      <c r="K98" t="str">
        <f t="shared" si="6"/>
        <v>MAT119|Vendor 11</v>
      </c>
      <c r="L98" t="str">
        <f t="shared" si="7"/>
        <v>Exception</v>
      </c>
      <c r="M98" t="str">
        <f t="shared" si="8"/>
        <v>Exception</v>
      </c>
      <c r="N98" t="str">
        <f t="shared" si="5"/>
        <v>Scenario A + B</v>
      </c>
      <c r="O98" t="str">
        <f t="shared" si="9"/>
        <v>No Tolerance</v>
      </c>
    </row>
    <row r="99" spans="1:15" x14ac:dyDescent="0.35">
      <c r="A99" t="s">
        <v>176</v>
      </c>
      <c r="B99" t="s">
        <v>85</v>
      </c>
      <c r="C99" t="s">
        <v>86</v>
      </c>
      <c r="D99" t="s">
        <v>87</v>
      </c>
      <c r="E99" t="s">
        <v>88</v>
      </c>
      <c r="F99" t="str" cm="1">
        <f t="array" ref="F99">_xlfn.IFS(
B99="MAT100","PCS",
B99="MAT101","NOS",
B99="MAT102","LTR",
B99="MAT103","SETS",
B99="MAT104","PCS",
B99="MAT105","NOS",
B99="MAT106","KG",
B99="MAT107","LTR",
B99="MAT108","SETS",
B99="MAT109","LTR",
B99="MAT110","PCS",
B99="MAT111","PCS",
B99="MAT112","SETS",
B99="MAT113","LTR",
B99="MAT114","PCS",
B99="MAT115","NOS",
B99="MAT116","KG",
B99="MAT117","PCS",
B99="MAT118","SETS",
B99="MAT119","KG"
)</f>
        <v>LTR</v>
      </c>
      <c r="G99">
        <v>0</v>
      </c>
      <c r="H99">
        <v>5</v>
      </c>
      <c r="I99">
        <v>154</v>
      </c>
      <c r="J99">
        <v>497</v>
      </c>
      <c r="K99" t="str">
        <f t="shared" si="6"/>
        <v>MAT109|Vendor 2</v>
      </c>
      <c r="L99" t="str">
        <f t="shared" si="7"/>
        <v>No Exception</v>
      </c>
      <c r="M99" t="str">
        <f t="shared" si="8"/>
        <v>No Exception</v>
      </c>
      <c r="N99" t="str">
        <f t="shared" si="5"/>
        <v>No Exception</v>
      </c>
      <c r="O99" t="str">
        <f t="shared" si="9"/>
        <v>Under Tolerance</v>
      </c>
    </row>
    <row r="100" spans="1:15" x14ac:dyDescent="0.35">
      <c r="A100" t="s">
        <v>177</v>
      </c>
      <c r="B100" t="s">
        <v>138</v>
      </c>
      <c r="C100" t="s">
        <v>139</v>
      </c>
      <c r="D100" t="s">
        <v>28</v>
      </c>
      <c r="E100" t="s">
        <v>29</v>
      </c>
      <c r="F100" t="str" cm="1">
        <f t="array" ref="F100">_xlfn.IFS(
B100="MAT100","PCS",
B100="MAT101","NOS",
B100="MAT102","LTR",
B100="MAT103","SETS",
B100="MAT104","PCS",
B100="MAT105","NOS",
B100="MAT106","KG",
B100="MAT107","LTR",
B100="MAT108","SETS",
B100="MAT109","LTR",
B100="MAT110","PCS",
B100="MAT111","PCS",
B100="MAT112","SETS",
B100="MAT113","LTR",
B100="MAT114","PCS",
B100="MAT115","NOS",
B100="MAT116","KG",
B100="MAT117","PCS",
B100="MAT118","SETS",
B100="MAT119","KG"
)</f>
        <v>PCS</v>
      </c>
      <c r="G100">
        <v>10</v>
      </c>
      <c r="H100">
        <v>5</v>
      </c>
      <c r="I100">
        <v>433</v>
      </c>
      <c r="J100">
        <v>3677</v>
      </c>
      <c r="K100" t="str">
        <f t="shared" si="6"/>
        <v>MAT100|Vendor 7</v>
      </c>
      <c r="L100" t="str">
        <f t="shared" si="7"/>
        <v>Exception</v>
      </c>
      <c r="M100" t="str">
        <f t="shared" si="8"/>
        <v>No Exception</v>
      </c>
      <c r="N100" t="str">
        <f t="shared" si="5"/>
        <v>Scenario B</v>
      </c>
      <c r="O100" t="str">
        <f t="shared" si="9"/>
        <v>Over + Under</v>
      </c>
    </row>
    <row r="101" spans="1:15" x14ac:dyDescent="0.35">
      <c r="A101" t="s">
        <v>178</v>
      </c>
      <c r="B101" t="s">
        <v>16</v>
      </c>
      <c r="C101" t="s">
        <v>17</v>
      </c>
      <c r="D101" t="s">
        <v>33</v>
      </c>
      <c r="E101" t="s">
        <v>34</v>
      </c>
      <c r="F101" t="str" cm="1">
        <f t="array" ref="F101">_xlfn.IFS(
B101="MAT100","PCS",
B101="MAT101","NOS",
B101="MAT102","LTR",
B101="MAT103","SETS",
B101="MAT104","PCS",
B101="MAT105","NOS",
B101="MAT106","KG",
B101="MAT107","LTR",
B101="MAT108","SETS",
B101="MAT109","LTR",
B101="MAT110","PCS",
B101="MAT111","PCS",
B101="MAT112","SETS",
B101="MAT113","LTR",
B101="MAT114","PCS",
B101="MAT115","NOS",
B101="MAT116","KG",
B101="MAT117","PCS",
B101="MAT118","SETS",
B101="MAT119","KG"
)</f>
        <v>PCS</v>
      </c>
      <c r="G101">
        <v>0</v>
      </c>
      <c r="H101">
        <v>5</v>
      </c>
      <c r="I101">
        <v>116</v>
      </c>
      <c r="J101">
        <v>962</v>
      </c>
      <c r="K101" t="str">
        <f t="shared" si="6"/>
        <v>MAT114|Vendor 3</v>
      </c>
      <c r="L101" t="str">
        <f t="shared" si="7"/>
        <v>Exception</v>
      </c>
      <c r="M101" t="str">
        <f t="shared" si="8"/>
        <v>No Exception</v>
      </c>
      <c r="N101" t="str">
        <f t="shared" si="5"/>
        <v>Scenario B</v>
      </c>
      <c r="O101" t="str">
        <f t="shared" si="9"/>
        <v>Under Tolerance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P2P Scenario 2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Jain</dc:creator>
  <cp:lastModifiedBy>Khushi Jain</cp:lastModifiedBy>
  <dcterms:created xsi:type="dcterms:W3CDTF">2026-07-04T18:08:03Z</dcterms:created>
  <dcterms:modified xsi:type="dcterms:W3CDTF">2026-07-04T18:09:12Z</dcterms:modified>
</cp:coreProperties>
</file>