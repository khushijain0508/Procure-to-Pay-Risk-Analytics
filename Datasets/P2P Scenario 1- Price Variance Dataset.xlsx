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6d49907f61831/Desktop/P2P Internship Project/Datasets/"/>
    </mc:Choice>
  </mc:AlternateContent>
  <xr:revisionPtr revIDLastSave="0" documentId="8_{73CF6654-C072-414E-B094-B83CF3CFE499}" xr6:coauthVersionLast="47" xr6:coauthVersionMax="47" xr10:uidLastSave="{00000000-0000-0000-0000-000000000000}"/>
  <bookViews>
    <workbookView xWindow="-110" yWindow="-110" windowWidth="19420" windowHeight="11500" xr2:uid="{551C273F-A4CF-401A-9233-6B24C7223984}"/>
  </bookViews>
  <sheets>
    <sheet name="Scenario 1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17" i="1" l="1"/>
  <c r="O117" i="1"/>
  <c r="N117" i="1"/>
  <c r="M117" i="1"/>
  <c r="P116" i="1"/>
  <c r="O116" i="1"/>
  <c r="N116" i="1"/>
  <c r="M116" i="1"/>
  <c r="P115" i="1"/>
  <c r="O115" i="1"/>
  <c r="N115" i="1"/>
  <c r="M115" i="1"/>
  <c r="P114" i="1"/>
  <c r="O114" i="1"/>
  <c r="N114" i="1"/>
  <c r="M114" i="1"/>
  <c r="P113" i="1"/>
  <c r="O113" i="1"/>
  <c r="N113" i="1"/>
  <c r="M113" i="1"/>
  <c r="P112" i="1"/>
  <c r="O112" i="1"/>
  <c r="N112" i="1"/>
  <c r="M112" i="1"/>
  <c r="P111" i="1"/>
  <c r="O111" i="1"/>
  <c r="N111" i="1"/>
  <c r="M111" i="1"/>
  <c r="P110" i="1"/>
  <c r="O110" i="1"/>
  <c r="N110" i="1"/>
  <c r="M110" i="1"/>
  <c r="P109" i="1"/>
  <c r="O109" i="1"/>
  <c r="N109" i="1"/>
  <c r="M109" i="1"/>
  <c r="P108" i="1"/>
  <c r="O108" i="1"/>
  <c r="N108" i="1"/>
  <c r="M108" i="1"/>
  <c r="P107" i="1"/>
  <c r="O107" i="1"/>
  <c r="N107" i="1"/>
  <c r="M107" i="1"/>
  <c r="P106" i="1"/>
  <c r="O106" i="1"/>
  <c r="N106" i="1"/>
  <c r="M106" i="1"/>
  <c r="P105" i="1"/>
  <c r="O105" i="1"/>
  <c r="N105" i="1"/>
  <c r="M105" i="1"/>
  <c r="P104" i="1"/>
  <c r="O104" i="1"/>
  <c r="N104" i="1"/>
  <c r="M104" i="1"/>
  <c r="P103" i="1"/>
  <c r="O103" i="1"/>
  <c r="N103" i="1"/>
  <c r="M103" i="1"/>
  <c r="P102" i="1"/>
  <c r="O102" i="1"/>
  <c r="N102" i="1"/>
  <c r="M102" i="1"/>
  <c r="P101" i="1"/>
  <c r="O101" i="1"/>
  <c r="N101" i="1"/>
  <c r="M101" i="1"/>
  <c r="P100" i="1"/>
  <c r="O100" i="1"/>
  <c r="N100" i="1"/>
  <c r="M100" i="1"/>
  <c r="P99" i="1"/>
  <c r="O99" i="1"/>
  <c r="N99" i="1"/>
  <c r="M99" i="1"/>
  <c r="P98" i="1"/>
  <c r="O98" i="1"/>
  <c r="N98" i="1"/>
  <c r="M98" i="1"/>
  <c r="P97" i="1"/>
  <c r="O97" i="1"/>
  <c r="N97" i="1"/>
  <c r="M97" i="1"/>
  <c r="P96" i="1"/>
  <c r="O96" i="1"/>
  <c r="N96" i="1"/>
  <c r="M96" i="1"/>
  <c r="P95" i="1"/>
  <c r="O95" i="1"/>
  <c r="N95" i="1"/>
  <c r="M95" i="1"/>
  <c r="P94" i="1"/>
  <c r="O94" i="1"/>
  <c r="N94" i="1"/>
  <c r="M94" i="1"/>
  <c r="P93" i="1"/>
  <c r="O93" i="1"/>
  <c r="N93" i="1"/>
  <c r="M93" i="1"/>
  <c r="P92" i="1"/>
  <c r="O92" i="1"/>
  <c r="N92" i="1"/>
  <c r="M92" i="1"/>
  <c r="P91" i="1"/>
  <c r="O91" i="1"/>
  <c r="N91" i="1"/>
  <c r="M91" i="1"/>
  <c r="P90" i="1"/>
  <c r="O90" i="1"/>
  <c r="N90" i="1"/>
  <c r="M90" i="1"/>
  <c r="P89" i="1"/>
  <c r="O89" i="1"/>
  <c r="N89" i="1"/>
  <c r="M89" i="1"/>
  <c r="P88" i="1"/>
  <c r="O88" i="1"/>
  <c r="N88" i="1"/>
  <c r="M88" i="1"/>
  <c r="P87" i="1"/>
  <c r="O87" i="1"/>
  <c r="N87" i="1"/>
  <c r="M87" i="1"/>
  <c r="P86" i="1"/>
  <c r="O86" i="1"/>
  <c r="N86" i="1"/>
  <c r="M86" i="1"/>
  <c r="P85" i="1"/>
  <c r="O85" i="1"/>
  <c r="N85" i="1"/>
  <c r="M85" i="1"/>
  <c r="P84" i="1"/>
  <c r="O84" i="1"/>
  <c r="N84" i="1"/>
  <c r="M84" i="1"/>
  <c r="P83" i="1"/>
  <c r="O83" i="1"/>
  <c r="N83" i="1"/>
  <c r="M83" i="1"/>
  <c r="P82" i="1"/>
  <c r="O82" i="1"/>
  <c r="N82" i="1"/>
  <c r="M82" i="1"/>
  <c r="P81" i="1"/>
  <c r="O81" i="1"/>
  <c r="N81" i="1"/>
  <c r="M81" i="1"/>
  <c r="P80" i="1"/>
  <c r="O80" i="1"/>
  <c r="N80" i="1"/>
  <c r="M80" i="1"/>
  <c r="P79" i="1"/>
  <c r="O79" i="1"/>
  <c r="N79" i="1"/>
  <c r="M79" i="1"/>
  <c r="P78" i="1"/>
  <c r="O78" i="1"/>
  <c r="N78" i="1"/>
  <c r="M78" i="1"/>
  <c r="P77" i="1"/>
  <c r="O77" i="1"/>
  <c r="N77" i="1"/>
  <c r="M77" i="1"/>
  <c r="P76" i="1"/>
  <c r="O76" i="1"/>
  <c r="N76" i="1"/>
  <c r="M76" i="1"/>
  <c r="P75" i="1"/>
  <c r="O75" i="1"/>
  <c r="N75" i="1"/>
  <c r="M75" i="1"/>
  <c r="P74" i="1"/>
  <c r="O74" i="1"/>
  <c r="N74" i="1"/>
  <c r="M74" i="1"/>
  <c r="P73" i="1"/>
  <c r="O73" i="1"/>
  <c r="N73" i="1"/>
  <c r="M73" i="1"/>
  <c r="P72" i="1"/>
  <c r="O72" i="1"/>
  <c r="N72" i="1"/>
  <c r="M72" i="1"/>
  <c r="P71" i="1"/>
  <c r="O71" i="1"/>
  <c r="N71" i="1"/>
  <c r="M71" i="1"/>
  <c r="P70" i="1"/>
  <c r="O70" i="1"/>
  <c r="N70" i="1"/>
  <c r="M70" i="1"/>
  <c r="P69" i="1"/>
  <c r="O69" i="1"/>
  <c r="N69" i="1"/>
  <c r="M69" i="1"/>
  <c r="P68" i="1"/>
  <c r="O68" i="1"/>
  <c r="N68" i="1"/>
  <c r="M68" i="1"/>
  <c r="P67" i="1"/>
  <c r="O67" i="1"/>
  <c r="N67" i="1"/>
  <c r="M67" i="1"/>
  <c r="P66" i="1"/>
  <c r="O66" i="1"/>
  <c r="N66" i="1"/>
  <c r="M66" i="1"/>
  <c r="P65" i="1"/>
  <c r="O65" i="1"/>
  <c r="N65" i="1"/>
  <c r="M65" i="1"/>
  <c r="P64" i="1"/>
  <c r="O64" i="1"/>
  <c r="N64" i="1"/>
  <c r="M64" i="1"/>
  <c r="P63" i="1"/>
  <c r="O63" i="1"/>
  <c r="N63" i="1"/>
  <c r="M63" i="1"/>
  <c r="P62" i="1"/>
  <c r="O62" i="1"/>
  <c r="S62" i="1" s="1"/>
  <c r="N62" i="1"/>
  <c r="M62" i="1"/>
  <c r="P61" i="1"/>
  <c r="O61" i="1"/>
  <c r="N61" i="1"/>
  <c r="M61" i="1"/>
  <c r="P60" i="1"/>
  <c r="O60" i="1"/>
  <c r="N60" i="1"/>
  <c r="M60" i="1"/>
  <c r="P59" i="1"/>
  <c r="O59" i="1"/>
  <c r="N59" i="1"/>
  <c r="M59" i="1"/>
  <c r="R58" i="1"/>
  <c r="P58" i="1"/>
  <c r="O58" i="1"/>
  <c r="N58" i="1"/>
  <c r="M58" i="1"/>
  <c r="P57" i="1"/>
  <c r="O57" i="1"/>
  <c r="N57" i="1"/>
  <c r="M57" i="1"/>
  <c r="P56" i="1"/>
  <c r="O56" i="1"/>
  <c r="N56" i="1"/>
  <c r="M56" i="1"/>
  <c r="P55" i="1"/>
  <c r="O55" i="1"/>
  <c r="N55" i="1"/>
  <c r="M55" i="1"/>
  <c r="T54" i="1"/>
  <c r="P54" i="1"/>
  <c r="O54" i="1"/>
  <c r="N54" i="1"/>
  <c r="M54" i="1"/>
  <c r="P53" i="1"/>
  <c r="O53" i="1"/>
  <c r="N53" i="1"/>
  <c r="M53" i="1"/>
  <c r="P52" i="1"/>
  <c r="O52" i="1"/>
  <c r="N52" i="1"/>
  <c r="M52" i="1"/>
  <c r="T51" i="1"/>
  <c r="P51" i="1"/>
  <c r="O51" i="1"/>
  <c r="N51" i="1"/>
  <c r="M51" i="1"/>
  <c r="P50" i="1"/>
  <c r="O50" i="1"/>
  <c r="N50" i="1"/>
  <c r="M50" i="1"/>
  <c r="P49" i="1"/>
  <c r="O49" i="1"/>
  <c r="N49" i="1"/>
  <c r="M49" i="1"/>
  <c r="P48" i="1"/>
  <c r="O48" i="1"/>
  <c r="N48" i="1"/>
  <c r="M48" i="1"/>
  <c r="P47" i="1"/>
  <c r="O47" i="1"/>
  <c r="N47" i="1"/>
  <c r="M47" i="1"/>
  <c r="P46" i="1"/>
  <c r="O46" i="1"/>
  <c r="N46" i="1"/>
  <c r="M46" i="1"/>
  <c r="P45" i="1"/>
  <c r="O45" i="1"/>
  <c r="N45" i="1"/>
  <c r="M45" i="1"/>
  <c r="P44" i="1"/>
  <c r="O44" i="1"/>
  <c r="N44" i="1"/>
  <c r="M44" i="1"/>
  <c r="P43" i="1"/>
  <c r="O43" i="1"/>
  <c r="N43" i="1"/>
  <c r="M43" i="1"/>
  <c r="P42" i="1"/>
  <c r="O42" i="1"/>
  <c r="N42" i="1"/>
  <c r="M42" i="1"/>
  <c r="P41" i="1"/>
  <c r="O41" i="1"/>
  <c r="N41" i="1"/>
  <c r="M41" i="1"/>
  <c r="P40" i="1"/>
  <c r="O40" i="1"/>
  <c r="N40" i="1"/>
  <c r="M40" i="1"/>
  <c r="P39" i="1"/>
  <c r="O39" i="1"/>
  <c r="N39" i="1"/>
  <c r="M39" i="1"/>
  <c r="P38" i="1"/>
  <c r="O38" i="1"/>
  <c r="N38" i="1"/>
  <c r="M38" i="1"/>
  <c r="P37" i="1"/>
  <c r="O37" i="1"/>
  <c r="N37" i="1"/>
  <c r="M37" i="1"/>
  <c r="P36" i="1"/>
  <c r="O36" i="1"/>
  <c r="N36" i="1"/>
  <c r="M36" i="1"/>
  <c r="P35" i="1"/>
  <c r="O35" i="1"/>
  <c r="N35" i="1"/>
  <c r="M35" i="1"/>
  <c r="P34" i="1"/>
  <c r="O34" i="1"/>
  <c r="N34" i="1"/>
  <c r="M34" i="1"/>
  <c r="P33" i="1"/>
  <c r="O33" i="1"/>
  <c r="N33" i="1"/>
  <c r="M33" i="1"/>
  <c r="P32" i="1"/>
  <c r="O32" i="1"/>
  <c r="N32" i="1"/>
  <c r="M32" i="1"/>
  <c r="P31" i="1"/>
  <c r="O31" i="1"/>
  <c r="N31" i="1"/>
  <c r="M31" i="1"/>
  <c r="P30" i="1"/>
  <c r="O30" i="1"/>
  <c r="N30" i="1"/>
  <c r="M30" i="1"/>
  <c r="P29" i="1"/>
  <c r="O29" i="1"/>
  <c r="N29" i="1"/>
  <c r="M29" i="1"/>
  <c r="P28" i="1"/>
  <c r="O28" i="1"/>
  <c r="N28" i="1"/>
  <c r="M28" i="1"/>
  <c r="P27" i="1"/>
  <c r="O27" i="1"/>
  <c r="N27" i="1"/>
  <c r="M27" i="1"/>
  <c r="P26" i="1"/>
  <c r="O26" i="1"/>
  <c r="N26" i="1"/>
  <c r="M26" i="1"/>
  <c r="P25" i="1"/>
  <c r="O25" i="1"/>
  <c r="N25" i="1"/>
  <c r="M25" i="1"/>
  <c r="P24" i="1"/>
  <c r="O24" i="1"/>
  <c r="N24" i="1"/>
  <c r="M24" i="1"/>
  <c r="P23" i="1"/>
  <c r="O23" i="1"/>
  <c r="N23" i="1"/>
  <c r="M23" i="1"/>
  <c r="S22" i="1"/>
  <c r="P22" i="1"/>
  <c r="O22" i="1"/>
  <c r="N22" i="1"/>
  <c r="R22" i="1" s="1"/>
  <c r="M22" i="1"/>
  <c r="P21" i="1"/>
  <c r="O21" i="1"/>
  <c r="N21" i="1"/>
  <c r="M21" i="1"/>
  <c r="P20" i="1"/>
  <c r="O20" i="1"/>
  <c r="N20" i="1"/>
  <c r="M20" i="1"/>
  <c r="P19" i="1"/>
  <c r="O19" i="1"/>
  <c r="N19" i="1"/>
  <c r="R29" i="1" s="1"/>
  <c r="M19" i="1"/>
  <c r="Q73" i="1" s="1"/>
  <c r="P18" i="1"/>
  <c r="O18" i="1"/>
  <c r="N18" i="1"/>
  <c r="M18" i="1"/>
  <c r="P17" i="1"/>
  <c r="O17" i="1"/>
  <c r="N17" i="1"/>
  <c r="M17" i="1"/>
  <c r="P16" i="1"/>
  <c r="O16" i="1"/>
  <c r="N16" i="1"/>
  <c r="M16" i="1"/>
  <c r="Q5" i="1" s="1"/>
  <c r="P15" i="1"/>
  <c r="O15" i="1"/>
  <c r="N15" i="1"/>
  <c r="R47" i="1" s="1"/>
  <c r="M15" i="1"/>
  <c r="P14" i="1"/>
  <c r="O14" i="1"/>
  <c r="N14" i="1"/>
  <c r="M14" i="1"/>
  <c r="P13" i="1"/>
  <c r="O13" i="1"/>
  <c r="N13" i="1"/>
  <c r="M13" i="1"/>
  <c r="P12" i="1"/>
  <c r="O12" i="1"/>
  <c r="N12" i="1"/>
  <c r="M12" i="1"/>
  <c r="R11" i="1"/>
  <c r="P11" i="1"/>
  <c r="O11" i="1"/>
  <c r="N11" i="1"/>
  <c r="M11" i="1"/>
  <c r="P10" i="1"/>
  <c r="O10" i="1"/>
  <c r="N10" i="1"/>
  <c r="M10" i="1"/>
  <c r="Q100" i="1" s="1"/>
  <c r="P9" i="1"/>
  <c r="O9" i="1"/>
  <c r="N9" i="1"/>
  <c r="M9" i="1"/>
  <c r="P8" i="1"/>
  <c r="O8" i="1"/>
  <c r="N8" i="1"/>
  <c r="M8" i="1"/>
  <c r="P7" i="1"/>
  <c r="O7" i="1"/>
  <c r="N7" i="1"/>
  <c r="M7" i="1"/>
  <c r="P6" i="1"/>
  <c r="O6" i="1"/>
  <c r="N6" i="1"/>
  <c r="M6" i="1"/>
  <c r="P5" i="1"/>
  <c r="O5" i="1"/>
  <c r="N5" i="1"/>
  <c r="M5" i="1"/>
  <c r="P4" i="1"/>
  <c r="T4" i="1" s="1"/>
  <c r="O4" i="1"/>
  <c r="N4" i="1"/>
  <c r="M4" i="1"/>
  <c r="P3" i="1"/>
  <c r="O3" i="1"/>
  <c r="S13" i="1" s="1"/>
  <c r="N3" i="1"/>
  <c r="M3" i="1"/>
  <c r="P2" i="1"/>
  <c r="O2" i="1"/>
  <c r="N2" i="1"/>
  <c r="M2" i="1"/>
  <c r="Q7" i="1" l="1"/>
  <c r="T31" i="1"/>
  <c r="Q85" i="1"/>
  <c r="T7" i="1"/>
  <c r="Q25" i="1"/>
  <c r="T47" i="1"/>
  <c r="R78" i="1"/>
  <c r="R85" i="1"/>
  <c r="T93" i="1"/>
  <c r="T105" i="1"/>
  <c r="R105" i="1"/>
  <c r="Q105" i="1"/>
  <c r="Q113" i="1"/>
  <c r="S14" i="1"/>
  <c r="S54" i="1"/>
  <c r="Q58" i="1"/>
  <c r="R62" i="1"/>
  <c r="T62" i="1"/>
  <c r="R70" i="1"/>
  <c r="Q70" i="1"/>
  <c r="T74" i="1"/>
  <c r="S82" i="1"/>
  <c r="R94" i="1"/>
  <c r="T94" i="1"/>
  <c r="S94" i="1"/>
  <c r="T5" i="1"/>
  <c r="R15" i="1"/>
  <c r="R4" i="1"/>
  <c r="R59" i="1"/>
  <c r="R6" i="1"/>
  <c r="R74" i="1"/>
  <c r="R23" i="1"/>
  <c r="S29" i="1"/>
  <c r="R40" i="1"/>
  <c r="T40" i="1"/>
  <c r="R44" i="1"/>
  <c r="S15" i="1"/>
  <c r="T29" i="1"/>
  <c r="S32" i="1"/>
  <c r="S40" i="1"/>
  <c r="T48" i="1"/>
  <c r="S86" i="1"/>
  <c r="S102" i="1"/>
  <c r="T110" i="1"/>
  <c r="R5" i="1"/>
  <c r="U5" i="1" s="1"/>
  <c r="T15" i="1"/>
  <c r="Q20" i="1"/>
  <c r="S20" i="1"/>
  <c r="R20" i="1"/>
  <c r="Q33" i="1"/>
  <c r="T33" i="1"/>
  <c r="S67" i="1"/>
  <c r="R71" i="1"/>
  <c r="T79" i="1"/>
  <c r="T87" i="1"/>
  <c r="Q91" i="1"/>
  <c r="S91" i="1"/>
  <c r="S19" i="1"/>
  <c r="Q19" i="1"/>
  <c r="Q16" i="1"/>
  <c r="S12" i="1"/>
  <c r="T12" i="1"/>
  <c r="T20" i="1"/>
  <c r="S80" i="1"/>
  <c r="S9" i="1"/>
  <c r="Q24" i="1"/>
  <c r="S27" i="1"/>
  <c r="Q30" i="1"/>
  <c r="S41" i="1"/>
  <c r="S68" i="1"/>
  <c r="T76" i="1"/>
  <c r="S84" i="1"/>
  <c r="Q103" i="1"/>
  <c r="T3" i="1"/>
  <c r="Q6" i="1"/>
  <c r="Q17" i="1"/>
  <c r="S30" i="1"/>
  <c r="Q3" i="1"/>
  <c r="S53" i="1"/>
  <c r="R73" i="1"/>
  <c r="U73" i="1" s="1"/>
  <c r="Q88" i="1"/>
  <c r="R50" i="1"/>
  <c r="R100" i="1"/>
  <c r="V100" i="1" s="1"/>
  <c r="Q82" i="1"/>
  <c r="R19" i="1"/>
  <c r="S58" i="1"/>
  <c r="S5" i="1"/>
  <c r="T8" i="1"/>
  <c r="S56" i="1"/>
  <c r="R56" i="1"/>
  <c r="Q56" i="1"/>
  <c r="R91" i="1"/>
  <c r="T88" i="1"/>
  <c r="R45" i="1"/>
  <c r="T45" i="1"/>
  <c r="T60" i="1"/>
  <c r="T67" i="1"/>
  <c r="T37" i="1"/>
  <c r="S45" i="1"/>
  <c r="R31" i="1"/>
  <c r="R27" i="1"/>
  <c r="S37" i="1"/>
  <c r="T56" i="1"/>
  <c r="S107" i="1"/>
  <c r="T107" i="1"/>
  <c r="S110" i="1"/>
  <c r="S101" i="1"/>
  <c r="S83" i="1"/>
  <c r="S81" i="1"/>
  <c r="S85" i="1"/>
  <c r="S93" i="1"/>
  <c r="S31" i="1"/>
  <c r="S4" i="1"/>
  <c r="S59" i="1"/>
  <c r="S55" i="1"/>
  <c r="S57" i="1"/>
  <c r="S2" i="1"/>
  <c r="S28" i="1"/>
  <c r="S92" i="1"/>
  <c r="S11" i="1"/>
  <c r="S64" i="1"/>
  <c r="S47" i="1"/>
  <c r="T24" i="1"/>
  <c r="T27" i="1"/>
  <c r="R53" i="1"/>
  <c r="R76" i="1"/>
  <c r="R103" i="1"/>
  <c r="Q10" i="1"/>
  <c r="Q4" i="1"/>
  <c r="S10" i="1"/>
  <c r="R17" i="1"/>
  <c r="R65" i="1"/>
  <c r="Q65" i="1"/>
  <c r="S65" i="1"/>
  <c r="T65" i="1"/>
  <c r="T77" i="1"/>
  <c r="Q77" i="1"/>
  <c r="T103" i="1"/>
  <c r="R108" i="1"/>
  <c r="S3" i="1"/>
  <c r="R10" i="1"/>
  <c r="Q21" i="1"/>
  <c r="Q34" i="1"/>
  <c r="Q50" i="1"/>
  <c r="R61" i="1"/>
  <c r="T61" i="1"/>
  <c r="Q61" i="1"/>
  <c r="R77" i="1"/>
  <c r="T10" i="1"/>
  <c r="T13" i="1"/>
  <c r="T28" i="1"/>
  <c r="T38" i="1"/>
  <c r="T73" i="1"/>
  <c r="R89" i="1"/>
  <c r="S89" i="1"/>
  <c r="T89" i="1"/>
  <c r="R97" i="1"/>
  <c r="Q97" i="1"/>
  <c r="S100" i="1"/>
  <c r="Q8" i="1"/>
  <c r="R16" i="1"/>
  <c r="T19" i="1"/>
  <c r="S44" i="1"/>
  <c r="R51" i="1"/>
  <c r="T58" i="1"/>
  <c r="R67" i="1"/>
  <c r="S77" i="1"/>
  <c r="T97" i="1"/>
  <c r="Q59" i="1"/>
  <c r="Q112" i="1"/>
  <c r="Q83" i="1"/>
  <c r="R8" i="1"/>
  <c r="R25" i="1"/>
  <c r="R38" i="1"/>
  <c r="Q38" i="1"/>
  <c r="S38" i="1"/>
  <c r="R41" i="1"/>
  <c r="T44" i="1"/>
  <c r="S51" i="1"/>
  <c r="S74" i="1"/>
  <c r="Q74" i="1"/>
  <c r="R80" i="1"/>
  <c r="Q98" i="1"/>
  <c r="S8" i="1"/>
  <c r="T16" i="1"/>
  <c r="T22" i="1"/>
  <c r="S25" i="1"/>
  <c r="Q32" i="1"/>
  <c r="R35" i="1"/>
  <c r="T35" i="1"/>
  <c r="T70" i="1"/>
  <c r="T83" i="1"/>
  <c r="Q86" i="1"/>
  <c r="R98" i="1"/>
  <c r="R13" i="1"/>
  <c r="T25" i="1"/>
  <c r="T30" i="1"/>
  <c r="R32" i="1"/>
  <c r="S35" i="1"/>
  <c r="T41" i="1"/>
  <c r="Q45" i="1"/>
  <c r="R48" i="1"/>
  <c r="Q51" i="1"/>
  <c r="R54" i="1"/>
  <c r="R86" i="1"/>
  <c r="R92" i="1"/>
  <c r="Q92" i="1"/>
  <c r="S98" i="1"/>
  <c r="Q108" i="1"/>
  <c r="T108" i="1"/>
  <c r="S108" i="1"/>
  <c r="R111" i="1"/>
  <c r="T68" i="1"/>
  <c r="Q68" i="1"/>
  <c r="S78" i="1"/>
  <c r="T95" i="1"/>
  <c r="Q95" i="1"/>
  <c r="R102" i="1"/>
  <c r="T81" i="1"/>
  <c r="Q9" i="1"/>
  <c r="Q28" i="1"/>
  <c r="R33" i="1"/>
  <c r="R36" i="1"/>
  <c r="Q42" i="1"/>
  <c r="Q48" i="1"/>
  <c r="R68" i="1"/>
  <c r="S71" i="1"/>
  <c r="T78" i="1"/>
  <c r="R95" i="1"/>
  <c r="T111" i="1"/>
  <c r="Q2" i="1"/>
  <c r="T6" i="1"/>
  <c r="R9" i="1"/>
  <c r="T11" i="1"/>
  <c r="Q14" i="1"/>
  <c r="S17" i="1"/>
  <c r="S23" i="1"/>
  <c r="R28" i="1"/>
  <c r="S36" i="1"/>
  <c r="T57" i="1"/>
  <c r="T71" i="1"/>
  <c r="Q78" i="1"/>
  <c r="T102" i="1"/>
  <c r="R2" i="1"/>
  <c r="R14" i="1"/>
  <c r="T17" i="1"/>
  <c r="T23" i="1"/>
  <c r="S26" i="1"/>
  <c r="S52" i="1"/>
  <c r="Q57" i="1"/>
  <c r="R75" i="1"/>
  <c r="Q84" i="1"/>
  <c r="T92" i="1"/>
  <c r="Q102" i="1"/>
  <c r="Q23" i="1"/>
  <c r="R39" i="1"/>
  <c r="T42" i="1"/>
  <c r="S49" i="1"/>
  <c r="T55" i="1"/>
  <c r="R60" i="1"/>
  <c r="Q63" i="1"/>
  <c r="Q72" i="1"/>
  <c r="T72" i="1"/>
  <c r="S75" i="1"/>
  <c r="Q87" i="1"/>
  <c r="Q96" i="1"/>
  <c r="R99" i="1"/>
  <c r="S109" i="1"/>
  <c r="Q109" i="1"/>
  <c r="T112" i="1"/>
  <c r="S112" i="1"/>
  <c r="T2" i="1"/>
  <c r="T14" i="1"/>
  <c r="R26" i="1"/>
  <c r="S39" i="1"/>
  <c r="R46" i="1"/>
  <c r="T49" i="1"/>
  <c r="Q55" i="1"/>
  <c r="R63" i="1"/>
  <c r="R72" i="1"/>
  <c r="R87" i="1"/>
  <c r="Q90" i="1"/>
  <c r="T90" i="1"/>
  <c r="R96" i="1"/>
  <c r="T99" i="1"/>
  <c r="R109" i="1"/>
  <c r="T9" i="1"/>
  <c r="R12" i="1"/>
  <c r="Q18" i="1"/>
  <c r="T18" i="1"/>
  <c r="Q31" i="1"/>
  <c r="R55" i="1"/>
  <c r="S63" i="1"/>
  <c r="S72" i="1"/>
  <c r="R90" i="1"/>
  <c r="S96" i="1"/>
  <c r="R106" i="1"/>
  <c r="Q106" i="1"/>
  <c r="T106" i="1"/>
  <c r="S7" i="1"/>
  <c r="R18" i="1"/>
  <c r="T34" i="1"/>
  <c r="Q37" i="1"/>
  <c r="T39" i="1"/>
  <c r="R43" i="1"/>
  <c r="Q43" i="1"/>
  <c r="T46" i="1"/>
  <c r="Q60" i="1"/>
  <c r="Q79" i="1"/>
  <c r="T96" i="1"/>
  <c r="R42" i="1"/>
  <c r="T84" i="1"/>
  <c r="S95" i="1"/>
  <c r="R49" i="1"/>
  <c r="T26" i="1"/>
  <c r="T36" i="1"/>
  <c r="S46" i="1"/>
  <c r="Q46" i="1"/>
  <c r="T52" i="1"/>
  <c r="R3" i="1"/>
  <c r="R110" i="1"/>
  <c r="R112" i="1"/>
  <c r="R101" i="1"/>
  <c r="R114" i="1"/>
  <c r="R113" i="1"/>
  <c r="R104" i="1"/>
  <c r="R83" i="1"/>
  <c r="R81" i="1"/>
  <c r="R82" i="1"/>
  <c r="Q15" i="1"/>
  <c r="S18" i="1"/>
  <c r="Q29" i="1"/>
  <c r="S50" i="1"/>
  <c r="T53" i="1"/>
  <c r="T63" i="1"/>
  <c r="R66" i="1"/>
  <c r="T66" i="1"/>
  <c r="S66" i="1"/>
  <c r="S76" i="1"/>
  <c r="T82" i="1"/>
  <c r="T85" i="1"/>
  <c r="T32" i="1"/>
  <c r="R37" i="1"/>
  <c r="S42" i="1"/>
  <c r="S48" i="1"/>
  <c r="Q54" i="1"/>
  <c r="Q71" i="1"/>
  <c r="T80" i="1"/>
  <c r="T100" i="1"/>
  <c r="S103" i="1"/>
  <c r="S111" i="1"/>
  <c r="T98" i="1"/>
  <c r="T109" i="1"/>
  <c r="R21" i="1"/>
  <c r="R24" i="1"/>
  <c r="T43" i="1"/>
  <c r="Q69" i="1"/>
  <c r="T75" i="1"/>
  <c r="S90" i="1"/>
  <c r="T101" i="1"/>
  <c r="S104" i="1"/>
  <c r="Q93" i="1"/>
  <c r="Q66" i="1"/>
  <c r="Q39" i="1"/>
  <c r="Q12" i="1"/>
  <c r="Q110" i="1"/>
  <c r="Q76" i="1"/>
  <c r="Q49" i="1"/>
  <c r="Q22" i="1"/>
  <c r="Q114" i="1"/>
  <c r="Q111" i="1"/>
  <c r="Q94" i="1"/>
  <c r="Q67" i="1"/>
  <c r="Q40" i="1"/>
  <c r="Q13" i="1"/>
  <c r="S21" i="1"/>
  <c r="S24" i="1"/>
  <c r="Q52" i="1"/>
  <c r="Q64" i="1"/>
  <c r="R69" i="1"/>
  <c r="Q75" i="1"/>
  <c r="R88" i="1"/>
  <c r="Q101" i="1"/>
  <c r="T113" i="1"/>
  <c r="Q11" i="1"/>
  <c r="T21" i="1"/>
  <c r="Q27" i="1"/>
  <c r="Q47" i="1"/>
  <c r="T50" i="1"/>
  <c r="R64" i="1"/>
  <c r="S69" i="1"/>
  <c r="Q104" i="1"/>
  <c r="Q107" i="1"/>
  <c r="Q36" i="1"/>
  <c r="Q41" i="1"/>
  <c r="Q44" i="1"/>
  <c r="T69" i="1"/>
  <c r="S73" i="1"/>
  <c r="S79" i="1"/>
  <c r="R93" i="1"/>
  <c r="R107" i="1"/>
  <c r="S113" i="1"/>
  <c r="R7" i="1"/>
  <c r="R34" i="1"/>
  <c r="T59" i="1"/>
  <c r="T86" i="1"/>
  <c r="Q26" i="1"/>
  <c r="S34" i="1"/>
  <c r="Q53" i="1"/>
  <c r="S61" i="1"/>
  <c r="Q80" i="1"/>
  <c r="S88" i="1"/>
  <c r="S105" i="1"/>
  <c r="R30" i="1"/>
  <c r="R57" i="1"/>
  <c r="R84" i="1"/>
  <c r="Q99" i="1"/>
  <c r="S114" i="1"/>
  <c r="T114" i="1"/>
  <c r="R115" i="1"/>
  <c r="S16" i="1"/>
  <c r="Q35" i="1"/>
  <c r="S43" i="1"/>
  <c r="Q62" i="1"/>
  <c r="S70" i="1"/>
  <c r="Q89" i="1"/>
  <c r="S97" i="1"/>
  <c r="S99" i="1"/>
  <c r="S115" i="1"/>
  <c r="T115" i="1"/>
  <c r="Q116" i="1"/>
  <c r="T64" i="1"/>
  <c r="Q81" i="1"/>
  <c r="T91" i="1"/>
  <c r="S6" i="1"/>
  <c r="S33" i="1"/>
  <c r="S60" i="1"/>
  <c r="S87" i="1"/>
  <c r="T104" i="1"/>
  <c r="S106" i="1"/>
  <c r="R52" i="1"/>
  <c r="R79" i="1"/>
  <c r="R116" i="1"/>
  <c r="S116" i="1"/>
  <c r="T116" i="1"/>
  <c r="Q117" i="1"/>
  <c r="R117" i="1"/>
  <c r="S117" i="1"/>
  <c r="T117" i="1"/>
  <c r="Q115" i="1"/>
  <c r="V89" i="1" l="1"/>
  <c r="U89" i="1"/>
  <c r="U94" i="1"/>
  <c r="V94" i="1"/>
  <c r="V46" i="1"/>
  <c r="U46" i="1"/>
  <c r="U90" i="1"/>
  <c r="V90" i="1"/>
  <c r="U82" i="1"/>
  <c r="V82" i="1"/>
  <c r="V24" i="1"/>
  <c r="U24" i="1"/>
  <c r="V105" i="1"/>
  <c r="U105" i="1"/>
  <c r="V26" i="1"/>
  <c r="U26" i="1"/>
  <c r="V111" i="1"/>
  <c r="U111" i="1"/>
  <c r="V108" i="1"/>
  <c r="U108" i="1"/>
  <c r="U77" i="1"/>
  <c r="V77" i="1"/>
  <c r="U20" i="1"/>
  <c r="V20" i="1"/>
  <c r="V62" i="1"/>
  <c r="U62" i="1"/>
  <c r="U47" i="1"/>
  <c r="V47" i="1"/>
  <c r="V114" i="1"/>
  <c r="U114" i="1"/>
  <c r="V106" i="1"/>
  <c r="U106" i="1"/>
  <c r="V72" i="1"/>
  <c r="U72" i="1"/>
  <c r="U55" i="1"/>
  <c r="V55" i="1"/>
  <c r="V42" i="1"/>
  <c r="U42" i="1"/>
  <c r="U76" i="1"/>
  <c r="V76" i="1"/>
  <c r="U59" i="1"/>
  <c r="V59" i="1"/>
  <c r="V65" i="1"/>
  <c r="U65" i="1"/>
  <c r="V110" i="1"/>
  <c r="U110" i="1"/>
  <c r="V15" i="1"/>
  <c r="U15" i="1"/>
  <c r="V3" i="1"/>
  <c r="U3" i="1"/>
  <c r="U16" i="1"/>
  <c r="V16" i="1"/>
  <c r="V101" i="1"/>
  <c r="U101" i="1"/>
  <c r="V12" i="1"/>
  <c r="U12" i="1"/>
  <c r="V71" i="1"/>
  <c r="U71" i="1"/>
  <c r="U28" i="1"/>
  <c r="V28" i="1"/>
  <c r="V51" i="1"/>
  <c r="U51" i="1"/>
  <c r="U19" i="1"/>
  <c r="V19" i="1"/>
  <c r="V25" i="1"/>
  <c r="U25" i="1"/>
  <c r="U22" i="1"/>
  <c r="V22" i="1"/>
  <c r="V63" i="1"/>
  <c r="U63" i="1"/>
  <c r="V48" i="1"/>
  <c r="U48" i="1"/>
  <c r="V88" i="1"/>
  <c r="U88" i="1"/>
  <c r="U49" i="1"/>
  <c r="V49" i="1"/>
  <c r="U32" i="1"/>
  <c r="V32" i="1"/>
  <c r="V112" i="1"/>
  <c r="U112" i="1"/>
  <c r="V11" i="1"/>
  <c r="U11" i="1"/>
  <c r="V39" i="1"/>
  <c r="U39" i="1"/>
  <c r="V54" i="1"/>
  <c r="U54" i="1"/>
  <c r="V9" i="1"/>
  <c r="U9" i="1"/>
  <c r="U23" i="1"/>
  <c r="V23" i="1"/>
  <c r="U85" i="1"/>
  <c r="V85" i="1"/>
  <c r="V93" i="1"/>
  <c r="U93" i="1"/>
  <c r="V64" i="1"/>
  <c r="U64" i="1"/>
  <c r="U14" i="1"/>
  <c r="V14" i="1"/>
  <c r="U95" i="1"/>
  <c r="V95" i="1"/>
  <c r="U74" i="1"/>
  <c r="V74" i="1"/>
  <c r="V56" i="1"/>
  <c r="U56" i="1"/>
  <c r="U103" i="1"/>
  <c r="V103" i="1"/>
  <c r="V44" i="1"/>
  <c r="U44" i="1"/>
  <c r="V52" i="1"/>
  <c r="U52" i="1"/>
  <c r="U50" i="1"/>
  <c r="V50" i="1"/>
  <c r="U41" i="1"/>
  <c r="V41" i="1"/>
  <c r="V109" i="1"/>
  <c r="U109" i="1"/>
  <c r="V34" i="1"/>
  <c r="U34" i="1"/>
  <c r="V73" i="1"/>
  <c r="V36" i="1"/>
  <c r="U36" i="1"/>
  <c r="V57" i="1"/>
  <c r="U57" i="1"/>
  <c r="U68" i="1"/>
  <c r="V68" i="1"/>
  <c r="V8" i="1"/>
  <c r="U8" i="1"/>
  <c r="V21" i="1"/>
  <c r="U21" i="1"/>
  <c r="U58" i="1"/>
  <c r="V58" i="1"/>
  <c r="U100" i="1"/>
  <c r="V80" i="1"/>
  <c r="U80" i="1"/>
  <c r="V107" i="1"/>
  <c r="U107" i="1"/>
  <c r="U13" i="1"/>
  <c r="V13" i="1"/>
  <c r="V69" i="1"/>
  <c r="U69" i="1"/>
  <c r="V37" i="1"/>
  <c r="U37" i="1"/>
  <c r="V2" i="1"/>
  <c r="U2" i="1"/>
  <c r="V27" i="1"/>
  <c r="U27" i="1"/>
  <c r="V29" i="1"/>
  <c r="U29" i="1"/>
  <c r="U31" i="1"/>
  <c r="V31" i="1"/>
  <c r="V45" i="1"/>
  <c r="U45" i="1"/>
  <c r="U60" i="1"/>
  <c r="V60" i="1"/>
  <c r="U81" i="1"/>
  <c r="V81" i="1"/>
  <c r="V18" i="1"/>
  <c r="U18" i="1"/>
  <c r="V115" i="1"/>
  <c r="U115" i="1"/>
  <c r="U43" i="1"/>
  <c r="V43" i="1"/>
  <c r="V84" i="1"/>
  <c r="U84" i="1"/>
  <c r="V116" i="1"/>
  <c r="U116" i="1"/>
  <c r="V117" i="1"/>
  <c r="U117" i="1"/>
  <c r="U104" i="1"/>
  <c r="V104" i="1"/>
  <c r="U40" i="1"/>
  <c r="V40" i="1"/>
  <c r="U96" i="1"/>
  <c r="V96" i="1"/>
  <c r="V97" i="1"/>
  <c r="U97" i="1"/>
  <c r="V30" i="1"/>
  <c r="U30" i="1"/>
  <c r="V33" i="1"/>
  <c r="U33" i="1"/>
  <c r="V5" i="1"/>
  <c r="V92" i="1"/>
  <c r="U92" i="1"/>
  <c r="V83" i="1"/>
  <c r="U83" i="1"/>
  <c r="V35" i="1"/>
  <c r="U35" i="1"/>
  <c r="V78" i="1"/>
  <c r="U78" i="1"/>
  <c r="V17" i="1"/>
  <c r="U17" i="1"/>
  <c r="V99" i="1"/>
  <c r="U99" i="1"/>
  <c r="V75" i="1"/>
  <c r="U75" i="1"/>
  <c r="V66" i="1"/>
  <c r="U66" i="1"/>
  <c r="V79" i="1"/>
  <c r="U79" i="1"/>
  <c r="V98" i="1"/>
  <c r="U98" i="1"/>
  <c r="U61" i="1"/>
  <c r="V61" i="1"/>
  <c r="U4" i="1"/>
  <c r="V4" i="1"/>
  <c r="U6" i="1"/>
  <c r="V6" i="1"/>
  <c r="V102" i="1"/>
  <c r="U102" i="1"/>
  <c r="V10" i="1"/>
  <c r="U10" i="1"/>
  <c r="V91" i="1"/>
  <c r="U91" i="1"/>
  <c r="U70" i="1"/>
  <c r="V70" i="1"/>
  <c r="V7" i="1"/>
  <c r="U7" i="1"/>
  <c r="V53" i="1"/>
  <c r="U53" i="1"/>
  <c r="U67" i="1"/>
  <c r="V67" i="1"/>
  <c r="V87" i="1"/>
  <c r="U87" i="1"/>
  <c r="U86" i="1"/>
  <c r="V86" i="1"/>
  <c r="V38" i="1"/>
  <c r="U38" i="1"/>
  <c r="V113" i="1"/>
  <c r="U113" i="1"/>
</calcChain>
</file>

<file path=xl/sharedStrings.xml><?xml version="1.0" encoding="utf-8"?>
<sst xmlns="http://schemas.openxmlformats.org/spreadsheetml/2006/main" count="950" uniqueCount="211">
  <si>
    <t>po_number</t>
  </si>
  <si>
    <t>buyer_name</t>
  </si>
  <si>
    <t>item_code</t>
  </si>
  <si>
    <t>item_description</t>
  </si>
  <si>
    <t>vendor_code</t>
  </si>
  <si>
    <t>vendor_name</t>
  </si>
  <si>
    <t>operating_unit</t>
  </si>
  <si>
    <t>approved_date</t>
  </si>
  <si>
    <t>order_price_in_inr</t>
  </si>
  <si>
    <t>quantity</t>
  </si>
  <si>
    <t>unit_of_measure</t>
  </si>
  <si>
    <t>total_financial_impact</t>
  </si>
  <si>
    <t>Scenario A key</t>
  </si>
  <si>
    <t>Scenario B key</t>
  </si>
  <si>
    <t>Scenario C key</t>
  </si>
  <si>
    <t>Scenario D key</t>
  </si>
  <si>
    <t>Scenario A exception</t>
  </si>
  <si>
    <t>Scenario B exception</t>
  </si>
  <si>
    <t>Scenario C exception</t>
  </si>
  <si>
    <t>Scenario D exception</t>
  </si>
  <si>
    <t>Exception Flag</t>
  </si>
  <si>
    <t xml:space="preserve">Scenario </t>
  </si>
  <si>
    <t>PO00001</t>
  </si>
  <si>
    <t>Buyer1</t>
  </si>
  <si>
    <t>MAT110</t>
  </si>
  <si>
    <t>Item MAT110</t>
  </si>
  <si>
    <t>V003</t>
  </si>
  <si>
    <t>Vendor 3</t>
  </si>
  <si>
    <t>PL04</t>
  </si>
  <si>
    <t>PCS</t>
  </si>
  <si>
    <t>PO00002</t>
  </si>
  <si>
    <t>Buyer4</t>
  </si>
  <si>
    <t>MAT118</t>
  </si>
  <si>
    <t>Item MAT118</t>
  </si>
  <si>
    <t>V001</t>
  </si>
  <si>
    <t>Vendor 1</t>
  </si>
  <si>
    <t>PL02</t>
  </si>
  <si>
    <t>PO00003</t>
  </si>
  <si>
    <t>MAT107</t>
  </si>
  <si>
    <t>Item MAT107</t>
  </si>
  <si>
    <t>V002</t>
  </si>
  <si>
    <t>Vendor 2</t>
  </si>
  <si>
    <t>PO00004</t>
  </si>
  <si>
    <t>PO00005</t>
  </si>
  <si>
    <t>Buyer3</t>
  </si>
  <si>
    <t>MAT104</t>
  </si>
  <si>
    <t>Item MAT104</t>
  </si>
  <si>
    <t>V005</t>
  </si>
  <si>
    <t>Vendor 5</t>
  </si>
  <si>
    <t>PO00006</t>
  </si>
  <si>
    <t>MAT105</t>
  </si>
  <si>
    <t>Item MAT105</t>
  </si>
  <si>
    <t>PO00007</t>
  </si>
  <si>
    <t>MAT101</t>
  </si>
  <si>
    <t>Item MAT101</t>
  </si>
  <si>
    <t>V010</t>
  </si>
  <si>
    <t>Vendor 10</t>
  </si>
  <si>
    <t>PO00008</t>
  </si>
  <si>
    <t>Buyer2</t>
  </si>
  <si>
    <t>V008</t>
  </si>
  <si>
    <t>Vendor 8</t>
  </si>
  <si>
    <t>PO00009</t>
  </si>
  <si>
    <t>PL03</t>
  </si>
  <si>
    <t>PO00010</t>
  </si>
  <si>
    <t>MAT119</t>
  </si>
  <si>
    <t>Item MAT119</t>
  </si>
  <si>
    <t>PL01</t>
  </si>
  <si>
    <t>PO00011</t>
  </si>
  <si>
    <t>MAT115</t>
  </si>
  <si>
    <t>Item MAT115</t>
  </si>
  <si>
    <t>V007</t>
  </si>
  <si>
    <t>Vendor 7</t>
  </si>
  <si>
    <t>PO00012</t>
  </si>
  <si>
    <t>MAT111</t>
  </si>
  <si>
    <t>Item MAT111</t>
  </si>
  <si>
    <t>PO00013</t>
  </si>
  <si>
    <t>MAT102</t>
  </si>
  <si>
    <t>Item MAT102</t>
  </si>
  <si>
    <t>PO00014</t>
  </si>
  <si>
    <t>MAT109</t>
  </si>
  <si>
    <t>Item MAT109</t>
  </si>
  <si>
    <t>V011</t>
  </si>
  <si>
    <t>Vendor 11</t>
  </si>
  <si>
    <t>PO00015</t>
  </si>
  <si>
    <t>MAT114</t>
  </si>
  <si>
    <t>Item MAT114</t>
  </si>
  <si>
    <t>V006</t>
  </si>
  <si>
    <t>Vendor 6</t>
  </si>
  <si>
    <t>PO00016</t>
  </si>
  <si>
    <t>PO00017</t>
  </si>
  <si>
    <t>PO00018</t>
  </si>
  <si>
    <t>MAT113</t>
  </si>
  <si>
    <t>Item MAT113</t>
  </si>
  <si>
    <t>PO00019</t>
  </si>
  <si>
    <t>PO00020</t>
  </si>
  <si>
    <t>PO00021</t>
  </si>
  <si>
    <t>MAT116</t>
  </si>
  <si>
    <t>Item MAT116</t>
  </si>
  <si>
    <t>PO00022</t>
  </si>
  <si>
    <t>MAT112</t>
  </si>
  <si>
    <t>Item MAT112</t>
  </si>
  <si>
    <t>PO00023</t>
  </si>
  <si>
    <t>V004</t>
  </si>
  <si>
    <t>Vendor 4</t>
  </si>
  <si>
    <t>PO00024</t>
  </si>
  <si>
    <t>MAT100</t>
  </si>
  <si>
    <t>Item MAT100</t>
  </si>
  <si>
    <t>PO00025</t>
  </si>
  <si>
    <t>MAT106</t>
  </si>
  <si>
    <t>Item MAT106</t>
  </si>
  <si>
    <t>PO00026</t>
  </si>
  <si>
    <t>PO00027</t>
  </si>
  <si>
    <t>PO00028</t>
  </si>
  <si>
    <t>V009</t>
  </si>
  <si>
    <t>Vendor 9</t>
  </si>
  <si>
    <t>PO00029</t>
  </si>
  <si>
    <t>MAT117</t>
  </si>
  <si>
    <t>Item MAT117</t>
  </si>
  <si>
    <t>PO00030</t>
  </si>
  <si>
    <t>PO00031</t>
  </si>
  <si>
    <t>PO00032</t>
  </si>
  <si>
    <t>PO00033</t>
  </si>
  <si>
    <t>V012</t>
  </si>
  <si>
    <t>Vendor 12</t>
  </si>
  <si>
    <t>PO00034</t>
  </si>
  <si>
    <t>PO00035</t>
  </si>
  <si>
    <t>PO00036</t>
  </si>
  <si>
    <t>PO00037</t>
  </si>
  <si>
    <t>PO00038</t>
  </si>
  <si>
    <t>PO00039</t>
  </si>
  <si>
    <t>PO00040</t>
  </si>
  <si>
    <t>PO00041</t>
  </si>
  <si>
    <t>PO00042</t>
  </si>
  <si>
    <t>PO00043</t>
  </si>
  <si>
    <t>PO00044</t>
  </si>
  <si>
    <t>PO00045</t>
  </si>
  <si>
    <t>PO00046</t>
  </si>
  <si>
    <t>PO00047</t>
  </si>
  <si>
    <t>MAT103</t>
  </si>
  <si>
    <t>Item MAT103</t>
  </si>
  <si>
    <t>PO00048</t>
  </si>
  <si>
    <t>PO00049</t>
  </si>
  <si>
    <t>PO00050</t>
  </si>
  <si>
    <t>PO00051</t>
  </si>
  <si>
    <t>PO00052</t>
  </si>
  <si>
    <t>PO00053</t>
  </si>
  <si>
    <t>MAT108</t>
  </si>
  <si>
    <t>Item MAT108</t>
  </si>
  <si>
    <t>PO00054</t>
  </si>
  <si>
    <t>PO00055</t>
  </si>
  <si>
    <t>PO00056</t>
  </si>
  <si>
    <t>PO00057</t>
  </si>
  <si>
    <t>PO00058</t>
  </si>
  <si>
    <t>PO00059</t>
  </si>
  <si>
    <t>PO00060</t>
  </si>
  <si>
    <t>PO00061</t>
  </si>
  <si>
    <t>PO00062</t>
  </si>
  <si>
    <t>PO00063</t>
  </si>
  <si>
    <t>PO00064</t>
  </si>
  <si>
    <t>PO00065</t>
  </si>
  <si>
    <t>PO00066</t>
  </si>
  <si>
    <t>PO00067</t>
  </si>
  <si>
    <t>PO00068</t>
  </si>
  <si>
    <t>PO00069</t>
  </si>
  <si>
    <t>PO00070</t>
  </si>
  <si>
    <t>PO00071</t>
  </si>
  <si>
    <t>PO00072</t>
  </si>
  <si>
    <t>PO00073</t>
  </si>
  <si>
    <t>PO00074</t>
  </si>
  <si>
    <t>PO00075</t>
  </si>
  <si>
    <t>PO00076</t>
  </si>
  <si>
    <t>PO00077</t>
  </si>
  <si>
    <t>PO00078</t>
  </si>
  <si>
    <t>PO00079</t>
  </si>
  <si>
    <t>PO00080</t>
  </si>
  <si>
    <t>PO00081</t>
  </si>
  <si>
    <t>PO00082</t>
  </si>
  <si>
    <t>PO00083</t>
  </si>
  <si>
    <t>PO00084</t>
  </si>
  <si>
    <t>PO00085</t>
  </si>
  <si>
    <t>PO00086</t>
  </si>
  <si>
    <t>PO00087</t>
  </si>
  <si>
    <t>PO00088</t>
  </si>
  <si>
    <t>PO00089</t>
  </si>
  <si>
    <t>PO00090</t>
  </si>
  <si>
    <t>PO00091</t>
  </si>
  <si>
    <t>PO00092</t>
  </si>
  <si>
    <t>PO00093</t>
  </si>
  <si>
    <t>PO00094</t>
  </si>
  <si>
    <t>PO00095</t>
  </si>
  <si>
    <t>PO00096</t>
  </si>
  <si>
    <t>PO00097</t>
  </si>
  <si>
    <t>PO00098</t>
  </si>
  <si>
    <t>PO00099</t>
  </si>
  <si>
    <t>PO00100</t>
  </si>
  <si>
    <t>POX00101</t>
  </si>
  <si>
    <t>POX00102</t>
  </si>
  <si>
    <t>POX00103</t>
  </si>
  <si>
    <t>POX00104</t>
  </si>
  <si>
    <t>POX00105</t>
  </si>
  <si>
    <t>POX00106</t>
  </si>
  <si>
    <t>POX00107</t>
  </si>
  <si>
    <t>POX00108</t>
  </si>
  <si>
    <t>POX00109</t>
  </si>
  <si>
    <t>POX00110</t>
  </si>
  <si>
    <t>POX00111</t>
  </si>
  <si>
    <t>POX00112</t>
  </si>
  <si>
    <t>POX00113</t>
  </si>
  <si>
    <t>POX00114</t>
  </si>
  <si>
    <t>POX00115</t>
  </si>
  <si>
    <t>POX00116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</si>
</sst>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5659-9AA2-4E0E-801F-4CFEED46635D}">
  <dimension ref="A1:V117"/>
  <sheetViews>
    <sheetView tabSelected="1" workbookViewId="0">
      <selection sqref="A1:V117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s="1">
        <v>46179</v>
      </c>
      <c r="I2">
        <v>100</v>
      </c>
      <c r="J2">
        <v>28</v>
      </c>
      <c r="K2" t="s">
        <v>29</v>
      </c>
      <c r="L2">
        <v>2800</v>
      </c>
      <c r="M2" t="str">
        <f>C2&amp;"|"&amp;G2&amp;"|"&amp;F2&amp;"|"&amp;TEXT(H2,"dd-mmm-yyyy")</f>
        <v>MAT110|PL04|Vendor 3|06-Jun-2026</v>
      </c>
      <c r="N2" t="str">
        <f>C2&amp;"|"&amp;G2&amp;"|"&amp;TEXT(H2,"dd-mmm-yyyy")</f>
        <v>MAT110|PL04|06-Jun-2026</v>
      </c>
      <c r="O2" t="str">
        <f>C2&amp;"|"&amp;F2&amp;"|"&amp;TEXT(H2,"dd-mmm-yyyy")</f>
        <v>MAT110|Vendor 3|06-Jun-2026</v>
      </c>
      <c r="P2" t="str">
        <f>C2&amp;"|"&amp;TEXT(H2,"dd-mmm-yyyy")</f>
        <v>MAT110|06-Jun-2026</v>
      </c>
      <c r="Q2">
        <f>IF(COUNTIF(M:M,M2)&gt;1,1,0)</f>
        <v>1</v>
      </c>
      <c r="R2">
        <f>IF(AND(COUNTIF(N:N,N2)&gt;1,COUNTIF(M:M,M2)=1),1,0)</f>
        <v>0</v>
      </c>
      <c r="S2">
        <f>IF(AND(COUNTIF(O:O,O2)&gt;1,COUNTIF(M:M,M2)=1,COUNTIF(N:N,N2)=1),1,0)</f>
        <v>0</v>
      </c>
      <c r="T2">
        <f>IF(AND(COUNTIF(P:P,P2)&gt;1,COUNTIF(M:M,M2)=1,COUNTIF(N:N,N2)=1,COUNTIF(O:O,O2)=1),1,0)</f>
        <v>0</v>
      </c>
      <c r="U2">
        <f>IF(OR(Q2=1,R2=1,S2=1,T2=1),1,0)</f>
        <v>1</v>
      </c>
      <c r="V2" t="str">
        <f>IF(Q2=1,"Scenario A",
IF(R2=1,"Scenario B",
IF(S2=1,"Scenario C",
IF(T2=1,"Scenario D","No Exception"))))</f>
        <v>Scenario A</v>
      </c>
    </row>
    <row r="3" spans="1:22" x14ac:dyDescent="0.3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s="1">
        <v>46175</v>
      </c>
      <c r="I3">
        <v>260</v>
      </c>
      <c r="J3">
        <v>121</v>
      </c>
      <c r="K3" t="s">
        <v>29</v>
      </c>
      <c r="L3">
        <v>31460</v>
      </c>
      <c r="M3" t="str">
        <f t="shared" ref="M3:M66" si="0">C3&amp;"|"&amp;G3&amp;"|"&amp;F3&amp;"|"&amp;TEXT(H3,"dd-mmm-yyyy")</f>
        <v>MAT118|PL02|Vendor 1|02-Jun-2026</v>
      </c>
      <c r="N3" t="str">
        <f t="shared" ref="N3:N66" si="1">C3&amp;"|"&amp;G3&amp;"|"&amp;TEXT(H3,"dd-mmm-yyyy")</f>
        <v>MAT118|PL02|02-Jun-2026</v>
      </c>
      <c r="O3" t="str">
        <f t="shared" ref="O3:O66" si="2">C3&amp;"|"&amp;F3&amp;"|"&amp;TEXT(H3,"dd-mmm-yyyy")</f>
        <v>MAT118|Vendor 1|02-Jun-2026</v>
      </c>
      <c r="P3" t="str">
        <f t="shared" ref="P3:P66" si="3">C3&amp;"|"&amp;TEXT(H3,"dd-mmm-yyyy")</f>
        <v>MAT118|02-Jun-2026</v>
      </c>
      <c r="Q3">
        <f t="shared" ref="Q3:Q66" si="4">IF(COUNTIF(M:M,M3)&gt;1,1,0)</f>
        <v>0</v>
      </c>
      <c r="R3">
        <f t="shared" ref="R3:R66" si="5">IF(AND(COUNTIF(N:N,N3)&gt;1,COUNTIF(M:M,M3)=1),1,0)</f>
        <v>0</v>
      </c>
      <c r="S3">
        <f t="shared" ref="S3:S66" si="6">IF(AND(COUNTIF(O:O,O3)&gt;1,COUNTIF(M:M,M3)=1,COUNTIF(N:N,N3)=1),1,0)</f>
        <v>0</v>
      </c>
      <c r="T3">
        <f t="shared" ref="T3:T66" si="7">IF(AND(COUNTIF(P:P,P3)&gt;1,COUNTIF(M:M,M3)=1,COUNTIF(N:N,N3)=1,COUNTIF(O:O,O3)=1),1,0)</f>
        <v>0</v>
      </c>
      <c r="U3">
        <f t="shared" ref="U3:U66" si="8">IF(OR(Q3=1,R3=1,S3=1,T3=1),1,0)</f>
        <v>0</v>
      </c>
      <c r="V3" t="str">
        <f t="shared" ref="V3:V66" si="9">IF(Q3=1,"Scenario A",
IF(R3=1,"Scenario B",
IF(S3=1,"Scenario C",
IF(T3=1,"Scenario D","No Exception"))))</f>
        <v>No Exception</v>
      </c>
    </row>
    <row r="4" spans="1:22" x14ac:dyDescent="0.35">
      <c r="A4" t="s">
        <v>37</v>
      </c>
      <c r="B4" t="s">
        <v>23</v>
      </c>
      <c r="C4" t="s">
        <v>38</v>
      </c>
      <c r="D4" t="s">
        <v>39</v>
      </c>
      <c r="E4" t="s">
        <v>40</v>
      </c>
      <c r="F4" t="s">
        <v>41</v>
      </c>
      <c r="G4" t="s">
        <v>28</v>
      </c>
      <c r="H4" s="1">
        <v>46177</v>
      </c>
      <c r="I4">
        <v>240</v>
      </c>
      <c r="J4">
        <v>154</v>
      </c>
      <c r="K4" t="s">
        <v>29</v>
      </c>
      <c r="L4">
        <v>36960</v>
      </c>
      <c r="M4" t="str">
        <f t="shared" si="0"/>
        <v>MAT107|PL04|Vendor 2|04-Jun-2026</v>
      </c>
      <c r="N4" t="str">
        <f t="shared" si="1"/>
        <v>MAT107|PL04|04-Jun-2026</v>
      </c>
      <c r="O4" t="str">
        <f t="shared" si="2"/>
        <v>MAT107|Vendor 2|04-Jun-2026</v>
      </c>
      <c r="P4" t="str">
        <f t="shared" si="3"/>
        <v>MAT107|04-Jun-2026</v>
      </c>
      <c r="Q4">
        <f t="shared" si="4"/>
        <v>0</v>
      </c>
      <c r="R4">
        <f t="shared" si="5"/>
        <v>0</v>
      </c>
      <c r="S4">
        <f t="shared" si="6"/>
        <v>0</v>
      </c>
      <c r="T4">
        <f t="shared" si="7"/>
        <v>1</v>
      </c>
      <c r="U4">
        <f t="shared" si="8"/>
        <v>1</v>
      </c>
      <c r="V4" t="str">
        <f t="shared" si="9"/>
        <v>Scenario D</v>
      </c>
    </row>
    <row r="5" spans="1:22" x14ac:dyDescent="0.35">
      <c r="A5" t="s">
        <v>42</v>
      </c>
      <c r="B5" t="s">
        <v>23</v>
      </c>
      <c r="C5" t="s">
        <v>32</v>
      </c>
      <c r="D5" t="s">
        <v>33</v>
      </c>
      <c r="E5" t="s">
        <v>34</v>
      </c>
      <c r="F5" t="s">
        <v>35</v>
      </c>
      <c r="G5" t="s">
        <v>28</v>
      </c>
      <c r="H5" s="1">
        <v>46182</v>
      </c>
      <c r="I5">
        <v>260</v>
      </c>
      <c r="J5">
        <v>66</v>
      </c>
      <c r="K5" t="s">
        <v>29</v>
      </c>
      <c r="L5">
        <v>17160</v>
      </c>
      <c r="M5" t="str">
        <f t="shared" si="0"/>
        <v>MAT118|PL04|Vendor 1|09-Jun-2026</v>
      </c>
      <c r="N5" t="str">
        <f t="shared" si="1"/>
        <v>MAT118|PL04|09-Jun-2026</v>
      </c>
      <c r="O5" t="str">
        <f t="shared" si="2"/>
        <v>MAT118|Vendor 1|09-Jun-2026</v>
      </c>
      <c r="P5" t="str">
        <f t="shared" si="3"/>
        <v>MAT118|09-Jun-2026</v>
      </c>
      <c r="Q5">
        <f t="shared" si="4"/>
        <v>0</v>
      </c>
      <c r="R5">
        <f t="shared" si="5"/>
        <v>0</v>
      </c>
      <c r="S5">
        <f t="shared" si="6"/>
        <v>0</v>
      </c>
      <c r="T5">
        <f t="shared" si="7"/>
        <v>0</v>
      </c>
      <c r="U5">
        <f t="shared" si="8"/>
        <v>0</v>
      </c>
      <c r="V5" t="str">
        <f t="shared" si="9"/>
        <v>No Exception</v>
      </c>
    </row>
    <row r="6" spans="1:22" x14ac:dyDescent="0.3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28</v>
      </c>
      <c r="H6" s="1">
        <v>46182</v>
      </c>
      <c r="I6">
        <v>180</v>
      </c>
      <c r="J6">
        <v>40</v>
      </c>
      <c r="K6" t="s">
        <v>29</v>
      </c>
      <c r="L6">
        <v>7200</v>
      </c>
      <c r="M6" t="str">
        <f t="shared" si="0"/>
        <v>MAT104|PL04|Vendor 5|09-Jun-2026</v>
      </c>
      <c r="N6" t="str">
        <f t="shared" si="1"/>
        <v>MAT104|PL04|09-Jun-2026</v>
      </c>
      <c r="O6" t="str">
        <f t="shared" si="2"/>
        <v>MAT104|Vendor 5|09-Jun-2026</v>
      </c>
      <c r="P6" t="str">
        <f t="shared" si="3"/>
        <v>MAT104|09-Jun-2026</v>
      </c>
      <c r="Q6">
        <f t="shared" si="4"/>
        <v>0</v>
      </c>
      <c r="R6">
        <f t="shared" si="5"/>
        <v>1</v>
      </c>
      <c r="S6">
        <f t="shared" si="6"/>
        <v>0</v>
      </c>
      <c r="T6">
        <f t="shared" si="7"/>
        <v>0</v>
      </c>
      <c r="U6">
        <f t="shared" si="8"/>
        <v>1</v>
      </c>
      <c r="V6" t="str">
        <f t="shared" si="9"/>
        <v>Scenario B</v>
      </c>
    </row>
    <row r="7" spans="1:22" x14ac:dyDescent="0.35">
      <c r="A7" t="s">
        <v>49</v>
      </c>
      <c r="B7" t="s">
        <v>23</v>
      </c>
      <c r="C7" t="s">
        <v>50</v>
      </c>
      <c r="D7" t="s">
        <v>51</v>
      </c>
      <c r="E7" t="s">
        <v>40</v>
      </c>
      <c r="F7" t="s">
        <v>41</v>
      </c>
      <c r="G7" t="s">
        <v>36</v>
      </c>
      <c r="H7" s="1">
        <v>46183</v>
      </c>
      <c r="I7">
        <v>200</v>
      </c>
      <c r="J7">
        <v>150</v>
      </c>
      <c r="K7" t="s">
        <v>29</v>
      </c>
      <c r="L7">
        <v>30000</v>
      </c>
      <c r="M7" t="str">
        <f t="shared" si="0"/>
        <v>MAT105|PL02|Vendor 2|10-Jun-2026</v>
      </c>
      <c r="N7" t="str">
        <f t="shared" si="1"/>
        <v>MAT105|PL02|10-Jun-2026</v>
      </c>
      <c r="O7" t="str">
        <f t="shared" si="2"/>
        <v>MAT105|Vendor 2|10-Jun-2026</v>
      </c>
      <c r="P7" t="str">
        <f t="shared" si="3"/>
        <v>MAT105|10-Jun-2026</v>
      </c>
      <c r="Q7">
        <f t="shared" si="4"/>
        <v>1</v>
      </c>
      <c r="R7">
        <f t="shared" si="5"/>
        <v>0</v>
      </c>
      <c r="S7">
        <f t="shared" si="6"/>
        <v>0</v>
      </c>
      <c r="T7">
        <f t="shared" si="7"/>
        <v>0</v>
      </c>
      <c r="U7">
        <f t="shared" si="8"/>
        <v>1</v>
      </c>
      <c r="V7" t="str">
        <f t="shared" si="9"/>
        <v>Scenario A</v>
      </c>
    </row>
    <row r="8" spans="1:22" x14ac:dyDescent="0.35">
      <c r="A8" t="s">
        <v>52</v>
      </c>
      <c r="B8" t="s">
        <v>31</v>
      </c>
      <c r="C8" t="s">
        <v>53</v>
      </c>
      <c r="D8" t="s">
        <v>54</v>
      </c>
      <c r="E8" t="s">
        <v>55</v>
      </c>
      <c r="F8" t="s">
        <v>56</v>
      </c>
      <c r="G8" t="s">
        <v>36</v>
      </c>
      <c r="H8" s="1">
        <v>46186</v>
      </c>
      <c r="I8">
        <v>120</v>
      </c>
      <c r="J8">
        <v>146</v>
      </c>
      <c r="K8" t="s">
        <v>29</v>
      </c>
      <c r="L8">
        <v>17520</v>
      </c>
      <c r="M8" t="str">
        <f t="shared" si="0"/>
        <v>MAT101|PL02|Vendor 10|13-Jun-2026</v>
      </c>
      <c r="N8" t="str">
        <f t="shared" si="1"/>
        <v>MAT101|PL02|13-Jun-2026</v>
      </c>
      <c r="O8" t="str">
        <f t="shared" si="2"/>
        <v>MAT101|Vendor 10|13-Jun-2026</v>
      </c>
      <c r="P8" t="str">
        <f t="shared" si="3"/>
        <v>MAT101|13-Jun-2026</v>
      </c>
      <c r="Q8">
        <f t="shared" si="4"/>
        <v>0</v>
      </c>
      <c r="R8">
        <f t="shared" si="5"/>
        <v>0</v>
      </c>
      <c r="S8">
        <f t="shared" si="6"/>
        <v>0</v>
      </c>
      <c r="T8">
        <f t="shared" si="7"/>
        <v>0</v>
      </c>
      <c r="U8">
        <f t="shared" si="8"/>
        <v>0</v>
      </c>
      <c r="V8" t="str">
        <f t="shared" si="9"/>
        <v>No Exception</v>
      </c>
    </row>
    <row r="9" spans="1:22" x14ac:dyDescent="0.35">
      <c r="A9" t="s">
        <v>57</v>
      </c>
      <c r="B9" t="s">
        <v>58</v>
      </c>
      <c r="C9" t="s">
        <v>24</v>
      </c>
      <c r="D9" t="s">
        <v>25</v>
      </c>
      <c r="E9" t="s">
        <v>59</v>
      </c>
      <c r="F9" t="s">
        <v>60</v>
      </c>
      <c r="G9" t="s">
        <v>28</v>
      </c>
      <c r="H9" s="1">
        <v>46185</v>
      </c>
      <c r="I9">
        <v>100</v>
      </c>
      <c r="J9">
        <v>73</v>
      </c>
      <c r="K9" t="s">
        <v>29</v>
      </c>
      <c r="L9">
        <v>7300</v>
      </c>
      <c r="M9" t="str">
        <f t="shared" si="0"/>
        <v>MAT110|PL04|Vendor 8|12-Jun-2026</v>
      </c>
      <c r="N9" t="str">
        <f t="shared" si="1"/>
        <v>MAT110|PL04|12-Jun-2026</v>
      </c>
      <c r="O9" t="str">
        <f t="shared" si="2"/>
        <v>MAT110|Vendor 8|12-Jun-2026</v>
      </c>
      <c r="P9" t="str">
        <f t="shared" si="3"/>
        <v>MAT110|12-Jun-2026</v>
      </c>
      <c r="Q9">
        <f t="shared" si="4"/>
        <v>0</v>
      </c>
      <c r="R9">
        <f t="shared" si="5"/>
        <v>1</v>
      </c>
      <c r="S9">
        <f t="shared" si="6"/>
        <v>0</v>
      </c>
      <c r="T9">
        <f t="shared" si="7"/>
        <v>0</v>
      </c>
      <c r="U9">
        <f t="shared" si="8"/>
        <v>1</v>
      </c>
      <c r="V9" t="str">
        <f t="shared" si="9"/>
        <v>Scenario B</v>
      </c>
    </row>
    <row r="10" spans="1:22" x14ac:dyDescent="0.35">
      <c r="A10" t="s">
        <v>61</v>
      </c>
      <c r="B10" t="s">
        <v>31</v>
      </c>
      <c r="C10" t="s">
        <v>38</v>
      </c>
      <c r="D10" t="s">
        <v>39</v>
      </c>
      <c r="E10" t="s">
        <v>40</v>
      </c>
      <c r="F10" t="s">
        <v>41</v>
      </c>
      <c r="G10" t="s">
        <v>62</v>
      </c>
      <c r="H10" s="1">
        <v>46178</v>
      </c>
      <c r="I10">
        <v>240</v>
      </c>
      <c r="J10">
        <v>97</v>
      </c>
      <c r="K10" t="s">
        <v>29</v>
      </c>
      <c r="L10">
        <v>23280</v>
      </c>
      <c r="M10" t="str">
        <f t="shared" si="0"/>
        <v>MAT107|PL03|Vendor 2|05-Jun-2026</v>
      </c>
      <c r="N10" t="str">
        <f t="shared" si="1"/>
        <v>MAT107|PL03|05-Jun-2026</v>
      </c>
      <c r="O10" t="str">
        <f t="shared" si="2"/>
        <v>MAT107|Vendor 2|05-Jun-2026</v>
      </c>
      <c r="P10" t="str">
        <f t="shared" si="3"/>
        <v>MAT107|05-Jun-2026</v>
      </c>
      <c r="Q10">
        <f t="shared" si="4"/>
        <v>0</v>
      </c>
      <c r="R10">
        <f t="shared" si="5"/>
        <v>0</v>
      </c>
      <c r="S10">
        <f t="shared" si="6"/>
        <v>1</v>
      </c>
      <c r="T10">
        <f t="shared" si="7"/>
        <v>0</v>
      </c>
      <c r="U10">
        <f t="shared" si="8"/>
        <v>1</v>
      </c>
      <c r="V10" t="str">
        <f t="shared" si="9"/>
        <v>Scenario C</v>
      </c>
    </row>
    <row r="11" spans="1:22" x14ac:dyDescent="0.35">
      <c r="A11" t="s">
        <v>63</v>
      </c>
      <c r="B11" t="s">
        <v>44</v>
      </c>
      <c r="C11" t="s">
        <v>64</v>
      </c>
      <c r="D11" t="s">
        <v>65</v>
      </c>
      <c r="E11" t="s">
        <v>40</v>
      </c>
      <c r="F11" t="s">
        <v>41</v>
      </c>
      <c r="G11" t="s">
        <v>66</v>
      </c>
      <c r="H11" s="1">
        <v>46176</v>
      </c>
      <c r="I11">
        <v>280</v>
      </c>
      <c r="J11">
        <v>52</v>
      </c>
      <c r="K11" t="s">
        <v>29</v>
      </c>
      <c r="L11">
        <v>14560</v>
      </c>
      <c r="M11" t="str">
        <f t="shared" si="0"/>
        <v>MAT119|PL01|Vendor 2|03-Jun-2026</v>
      </c>
      <c r="N11" t="str">
        <f t="shared" si="1"/>
        <v>MAT119|PL01|03-Jun-2026</v>
      </c>
      <c r="O11" t="str">
        <f t="shared" si="2"/>
        <v>MAT119|Vendor 2|03-Jun-2026</v>
      </c>
      <c r="P11" t="str">
        <f t="shared" si="3"/>
        <v>MAT119|03-Jun-2026</v>
      </c>
      <c r="Q11">
        <f t="shared" si="4"/>
        <v>0</v>
      </c>
      <c r="R11">
        <f t="shared" si="5"/>
        <v>0</v>
      </c>
      <c r="S11">
        <f t="shared" si="6"/>
        <v>0</v>
      </c>
      <c r="T11">
        <f t="shared" si="7"/>
        <v>0</v>
      </c>
      <c r="U11">
        <f t="shared" si="8"/>
        <v>0</v>
      </c>
      <c r="V11" t="str">
        <f t="shared" si="9"/>
        <v>No Exception</v>
      </c>
    </row>
    <row r="12" spans="1:22" x14ac:dyDescent="0.35">
      <c r="A12" t="s">
        <v>67</v>
      </c>
      <c r="B12" t="s">
        <v>44</v>
      </c>
      <c r="C12" t="s">
        <v>68</v>
      </c>
      <c r="D12" t="s">
        <v>69</v>
      </c>
      <c r="E12" t="s">
        <v>70</v>
      </c>
      <c r="F12" t="s">
        <v>71</v>
      </c>
      <c r="G12" t="s">
        <v>66</v>
      </c>
      <c r="H12" s="1">
        <v>46179</v>
      </c>
      <c r="I12">
        <v>180</v>
      </c>
      <c r="J12">
        <v>152</v>
      </c>
      <c r="K12" t="s">
        <v>29</v>
      </c>
      <c r="L12">
        <v>27360</v>
      </c>
      <c r="M12" t="str">
        <f t="shared" si="0"/>
        <v>MAT115|PL01|Vendor 7|06-Jun-2026</v>
      </c>
      <c r="N12" t="str">
        <f t="shared" si="1"/>
        <v>MAT115|PL01|06-Jun-2026</v>
      </c>
      <c r="O12" t="str">
        <f t="shared" si="2"/>
        <v>MAT115|Vendor 7|06-Jun-2026</v>
      </c>
      <c r="P12" t="str">
        <f t="shared" si="3"/>
        <v>MAT115|06-Jun-2026</v>
      </c>
      <c r="Q12">
        <f t="shared" si="4"/>
        <v>1</v>
      </c>
      <c r="R12">
        <f t="shared" si="5"/>
        <v>0</v>
      </c>
      <c r="S12">
        <f t="shared" si="6"/>
        <v>0</v>
      </c>
      <c r="T12">
        <f t="shared" si="7"/>
        <v>0</v>
      </c>
      <c r="U12">
        <f t="shared" si="8"/>
        <v>1</v>
      </c>
      <c r="V12" t="str">
        <f t="shared" si="9"/>
        <v>Scenario A</v>
      </c>
    </row>
    <row r="13" spans="1:22" x14ac:dyDescent="0.35">
      <c r="A13" t="s">
        <v>72</v>
      </c>
      <c r="B13" t="s">
        <v>23</v>
      </c>
      <c r="C13" t="s">
        <v>73</v>
      </c>
      <c r="D13" t="s">
        <v>74</v>
      </c>
      <c r="E13" t="s">
        <v>55</v>
      </c>
      <c r="F13" t="s">
        <v>56</v>
      </c>
      <c r="G13" t="s">
        <v>28</v>
      </c>
      <c r="H13" s="1">
        <v>46187</v>
      </c>
      <c r="I13">
        <v>120</v>
      </c>
      <c r="J13">
        <v>126</v>
      </c>
      <c r="K13" t="s">
        <v>29</v>
      </c>
      <c r="L13">
        <v>15120</v>
      </c>
      <c r="M13" t="str">
        <f t="shared" si="0"/>
        <v>MAT111|PL04|Vendor 10|14-Jun-2026</v>
      </c>
      <c r="N13" t="str">
        <f t="shared" si="1"/>
        <v>MAT111|PL04|14-Jun-2026</v>
      </c>
      <c r="O13" t="str">
        <f t="shared" si="2"/>
        <v>MAT111|Vendor 10|14-Jun-2026</v>
      </c>
      <c r="P13" t="str">
        <f t="shared" si="3"/>
        <v>MAT111|14-Jun-2026</v>
      </c>
      <c r="Q13">
        <f t="shared" si="4"/>
        <v>0</v>
      </c>
      <c r="R13">
        <f t="shared" si="5"/>
        <v>0</v>
      </c>
      <c r="S13">
        <f t="shared" si="6"/>
        <v>0</v>
      </c>
      <c r="T13">
        <f t="shared" si="7"/>
        <v>0</v>
      </c>
      <c r="U13">
        <f t="shared" si="8"/>
        <v>0</v>
      </c>
      <c r="V13" t="str">
        <f t="shared" si="9"/>
        <v>No Exception</v>
      </c>
    </row>
    <row r="14" spans="1:22" x14ac:dyDescent="0.35">
      <c r="A14" t="s">
        <v>75</v>
      </c>
      <c r="B14" t="s">
        <v>23</v>
      </c>
      <c r="C14" t="s">
        <v>76</v>
      </c>
      <c r="D14" t="s">
        <v>77</v>
      </c>
      <c r="E14" t="s">
        <v>47</v>
      </c>
      <c r="F14" t="s">
        <v>48</v>
      </c>
      <c r="G14" t="s">
        <v>28</v>
      </c>
      <c r="H14" s="1">
        <v>46185</v>
      </c>
      <c r="I14">
        <v>140</v>
      </c>
      <c r="J14">
        <v>26</v>
      </c>
      <c r="K14" t="s">
        <v>29</v>
      </c>
      <c r="L14">
        <v>3640</v>
      </c>
      <c r="M14" t="str">
        <f t="shared" si="0"/>
        <v>MAT102|PL04|Vendor 5|12-Jun-2026</v>
      </c>
      <c r="N14" t="str">
        <f t="shared" si="1"/>
        <v>MAT102|PL04|12-Jun-2026</v>
      </c>
      <c r="O14" t="str">
        <f t="shared" si="2"/>
        <v>MAT102|Vendor 5|12-Jun-2026</v>
      </c>
      <c r="P14" t="str">
        <f t="shared" si="3"/>
        <v>MAT102|12-Jun-2026</v>
      </c>
      <c r="Q14">
        <f t="shared" si="4"/>
        <v>0</v>
      </c>
      <c r="R14">
        <f t="shared" si="5"/>
        <v>0</v>
      </c>
      <c r="S14">
        <f t="shared" si="6"/>
        <v>0</v>
      </c>
      <c r="T14">
        <f t="shared" si="7"/>
        <v>0</v>
      </c>
      <c r="U14">
        <f t="shared" si="8"/>
        <v>0</v>
      </c>
      <c r="V14" t="str">
        <f t="shared" si="9"/>
        <v>No Exception</v>
      </c>
    </row>
    <row r="15" spans="1:22" x14ac:dyDescent="0.35">
      <c r="A15" t="s">
        <v>78</v>
      </c>
      <c r="B15" t="s">
        <v>44</v>
      </c>
      <c r="C15" t="s">
        <v>79</v>
      </c>
      <c r="D15" t="s">
        <v>80</v>
      </c>
      <c r="E15" t="s">
        <v>81</v>
      </c>
      <c r="F15" t="s">
        <v>82</v>
      </c>
      <c r="G15" t="s">
        <v>28</v>
      </c>
      <c r="H15" s="1">
        <v>46174</v>
      </c>
      <c r="I15">
        <v>280</v>
      </c>
      <c r="J15">
        <v>108</v>
      </c>
      <c r="K15" t="s">
        <v>29</v>
      </c>
      <c r="L15">
        <v>30240</v>
      </c>
      <c r="M15" t="str">
        <f t="shared" si="0"/>
        <v>MAT109|PL04|Vendor 11|01-Jun-2026</v>
      </c>
      <c r="N15" t="str">
        <f t="shared" si="1"/>
        <v>MAT109|PL04|01-Jun-2026</v>
      </c>
      <c r="O15" t="str">
        <f t="shared" si="2"/>
        <v>MAT109|Vendor 11|01-Jun-2026</v>
      </c>
      <c r="P15" t="str">
        <f t="shared" si="3"/>
        <v>MAT109|01-Jun-2026</v>
      </c>
      <c r="Q15">
        <f t="shared" si="4"/>
        <v>0</v>
      </c>
      <c r="R15">
        <f t="shared" si="5"/>
        <v>1</v>
      </c>
      <c r="S15">
        <f t="shared" si="6"/>
        <v>0</v>
      </c>
      <c r="T15">
        <f t="shared" si="7"/>
        <v>0</v>
      </c>
      <c r="U15">
        <f t="shared" si="8"/>
        <v>1</v>
      </c>
      <c r="V15" t="str">
        <f t="shared" si="9"/>
        <v>Scenario B</v>
      </c>
    </row>
    <row r="16" spans="1:22" x14ac:dyDescent="0.35">
      <c r="A16" t="s">
        <v>83</v>
      </c>
      <c r="B16" t="s">
        <v>23</v>
      </c>
      <c r="C16" t="s">
        <v>84</v>
      </c>
      <c r="D16" t="s">
        <v>85</v>
      </c>
      <c r="E16" t="s">
        <v>86</v>
      </c>
      <c r="F16" t="s">
        <v>87</v>
      </c>
      <c r="G16" t="s">
        <v>36</v>
      </c>
      <c r="H16" s="1">
        <v>46177</v>
      </c>
      <c r="I16">
        <v>180</v>
      </c>
      <c r="J16">
        <v>136</v>
      </c>
      <c r="K16" t="s">
        <v>29</v>
      </c>
      <c r="L16">
        <v>24480</v>
      </c>
      <c r="M16" t="str">
        <f t="shared" si="0"/>
        <v>MAT114|PL02|Vendor 6|04-Jun-2026</v>
      </c>
      <c r="N16" t="str">
        <f t="shared" si="1"/>
        <v>MAT114|PL02|04-Jun-2026</v>
      </c>
      <c r="O16" t="str">
        <f t="shared" si="2"/>
        <v>MAT114|Vendor 6|04-Jun-2026</v>
      </c>
      <c r="P16" t="str">
        <f t="shared" si="3"/>
        <v>MAT114|04-Jun-2026</v>
      </c>
      <c r="Q16">
        <f t="shared" si="4"/>
        <v>0</v>
      </c>
      <c r="R16">
        <f t="shared" si="5"/>
        <v>0</v>
      </c>
      <c r="S16">
        <f t="shared" si="6"/>
        <v>0</v>
      </c>
      <c r="T16">
        <f t="shared" si="7"/>
        <v>0</v>
      </c>
      <c r="U16">
        <f t="shared" si="8"/>
        <v>0</v>
      </c>
      <c r="V16" t="str">
        <f t="shared" si="9"/>
        <v>No Exception</v>
      </c>
    </row>
    <row r="17" spans="1:22" x14ac:dyDescent="0.35">
      <c r="A17" t="s">
        <v>88</v>
      </c>
      <c r="B17" t="s">
        <v>23</v>
      </c>
      <c r="C17" t="s">
        <v>79</v>
      </c>
      <c r="D17" t="s">
        <v>80</v>
      </c>
      <c r="E17" t="s">
        <v>26</v>
      </c>
      <c r="F17" t="s">
        <v>27</v>
      </c>
      <c r="G17" t="s">
        <v>36</v>
      </c>
      <c r="H17" s="1">
        <v>46176</v>
      </c>
      <c r="I17">
        <v>280</v>
      </c>
      <c r="J17">
        <v>137</v>
      </c>
      <c r="K17" t="s">
        <v>29</v>
      </c>
      <c r="L17">
        <v>38360</v>
      </c>
      <c r="M17" t="str">
        <f t="shared" si="0"/>
        <v>MAT109|PL02|Vendor 3|03-Jun-2026</v>
      </c>
      <c r="N17" t="str">
        <f t="shared" si="1"/>
        <v>MAT109|PL02|03-Jun-2026</v>
      </c>
      <c r="O17" t="str">
        <f t="shared" si="2"/>
        <v>MAT109|Vendor 3|03-Jun-2026</v>
      </c>
      <c r="P17" t="str">
        <f t="shared" si="3"/>
        <v>MAT109|03-Jun-2026</v>
      </c>
      <c r="Q17">
        <f t="shared" si="4"/>
        <v>1</v>
      </c>
      <c r="R17">
        <f t="shared" si="5"/>
        <v>0</v>
      </c>
      <c r="S17">
        <f t="shared" si="6"/>
        <v>0</v>
      </c>
      <c r="T17">
        <f t="shared" si="7"/>
        <v>0</v>
      </c>
      <c r="U17">
        <f t="shared" si="8"/>
        <v>1</v>
      </c>
      <c r="V17" t="str">
        <f t="shared" si="9"/>
        <v>Scenario A</v>
      </c>
    </row>
    <row r="18" spans="1:22" x14ac:dyDescent="0.35">
      <c r="A18" t="s">
        <v>89</v>
      </c>
      <c r="B18" t="s">
        <v>44</v>
      </c>
      <c r="C18" t="s">
        <v>84</v>
      </c>
      <c r="D18" t="s">
        <v>85</v>
      </c>
      <c r="E18" t="s">
        <v>70</v>
      </c>
      <c r="F18" t="s">
        <v>71</v>
      </c>
      <c r="G18" t="s">
        <v>62</v>
      </c>
      <c r="H18" s="1">
        <v>46185</v>
      </c>
      <c r="I18">
        <v>200</v>
      </c>
      <c r="J18">
        <v>150</v>
      </c>
      <c r="K18" t="s">
        <v>29</v>
      </c>
      <c r="L18">
        <v>30000</v>
      </c>
      <c r="M18" t="str">
        <f t="shared" si="0"/>
        <v>MAT114|PL03|Vendor 7|12-Jun-2026</v>
      </c>
      <c r="N18" t="str">
        <f t="shared" si="1"/>
        <v>MAT114|PL03|12-Jun-2026</v>
      </c>
      <c r="O18" t="str">
        <f t="shared" si="2"/>
        <v>MAT114|Vendor 7|12-Jun-2026</v>
      </c>
      <c r="P18" t="str">
        <f t="shared" si="3"/>
        <v>MAT114|12-Jun-2026</v>
      </c>
      <c r="Q18">
        <f t="shared" si="4"/>
        <v>0</v>
      </c>
      <c r="R18">
        <f t="shared" si="5"/>
        <v>0</v>
      </c>
      <c r="S18">
        <f t="shared" si="6"/>
        <v>0</v>
      </c>
      <c r="T18">
        <f t="shared" si="7"/>
        <v>0</v>
      </c>
      <c r="U18">
        <f t="shared" si="8"/>
        <v>0</v>
      </c>
      <c r="V18" t="str">
        <f t="shared" si="9"/>
        <v>No Exception</v>
      </c>
    </row>
    <row r="19" spans="1:22" x14ac:dyDescent="0.35">
      <c r="A19" t="s">
        <v>90</v>
      </c>
      <c r="B19" t="s">
        <v>58</v>
      </c>
      <c r="C19" t="s">
        <v>91</v>
      </c>
      <c r="D19" t="s">
        <v>92</v>
      </c>
      <c r="E19" t="s">
        <v>86</v>
      </c>
      <c r="F19" t="s">
        <v>87</v>
      </c>
      <c r="G19" t="s">
        <v>28</v>
      </c>
      <c r="H19" s="1">
        <v>46176</v>
      </c>
      <c r="I19">
        <v>150</v>
      </c>
      <c r="J19">
        <v>31</v>
      </c>
      <c r="K19" t="s">
        <v>29</v>
      </c>
      <c r="L19">
        <v>4650</v>
      </c>
      <c r="M19" t="str">
        <f t="shared" si="0"/>
        <v>MAT113|PL04|Vendor 6|03-Jun-2026</v>
      </c>
      <c r="N19" t="str">
        <f t="shared" si="1"/>
        <v>MAT113|PL04|03-Jun-2026</v>
      </c>
      <c r="O19" t="str">
        <f t="shared" si="2"/>
        <v>MAT113|Vendor 6|03-Jun-2026</v>
      </c>
      <c r="P19" t="str">
        <f t="shared" si="3"/>
        <v>MAT113|03-Jun-2026</v>
      </c>
      <c r="Q19">
        <f t="shared" si="4"/>
        <v>0</v>
      </c>
      <c r="R19">
        <f t="shared" si="5"/>
        <v>0</v>
      </c>
      <c r="S19">
        <f t="shared" si="6"/>
        <v>0</v>
      </c>
      <c r="T19">
        <f t="shared" si="7"/>
        <v>0</v>
      </c>
      <c r="U19">
        <f t="shared" si="8"/>
        <v>0</v>
      </c>
      <c r="V19" t="str">
        <f t="shared" si="9"/>
        <v>No Exception</v>
      </c>
    </row>
    <row r="20" spans="1:22" x14ac:dyDescent="0.35">
      <c r="A20" t="s">
        <v>93</v>
      </c>
      <c r="B20" t="s">
        <v>58</v>
      </c>
      <c r="C20" t="s">
        <v>38</v>
      </c>
      <c r="D20" t="s">
        <v>39</v>
      </c>
      <c r="E20" t="s">
        <v>81</v>
      </c>
      <c r="F20" t="s">
        <v>82</v>
      </c>
      <c r="G20" t="s">
        <v>36</v>
      </c>
      <c r="H20" s="1">
        <v>46178</v>
      </c>
      <c r="I20">
        <v>240</v>
      </c>
      <c r="J20">
        <v>160</v>
      </c>
      <c r="K20" t="s">
        <v>29</v>
      </c>
      <c r="L20">
        <v>38400</v>
      </c>
      <c r="M20" t="str">
        <f t="shared" si="0"/>
        <v>MAT107|PL02|Vendor 11|05-Jun-2026</v>
      </c>
      <c r="N20" t="str">
        <f t="shared" si="1"/>
        <v>MAT107|PL02|05-Jun-2026</v>
      </c>
      <c r="O20" t="str">
        <f t="shared" si="2"/>
        <v>MAT107|Vendor 11|05-Jun-2026</v>
      </c>
      <c r="P20" t="str">
        <f t="shared" si="3"/>
        <v>MAT107|05-Jun-2026</v>
      </c>
      <c r="Q20">
        <f t="shared" si="4"/>
        <v>0</v>
      </c>
      <c r="R20">
        <f t="shared" si="5"/>
        <v>0</v>
      </c>
      <c r="S20">
        <f t="shared" si="6"/>
        <v>0</v>
      </c>
      <c r="T20">
        <f t="shared" si="7"/>
        <v>1</v>
      </c>
      <c r="U20">
        <f t="shared" si="8"/>
        <v>1</v>
      </c>
      <c r="V20" t="str">
        <f t="shared" si="9"/>
        <v>Scenario D</v>
      </c>
    </row>
    <row r="21" spans="1:22" x14ac:dyDescent="0.35">
      <c r="A21" t="s">
        <v>94</v>
      </c>
      <c r="B21" t="s">
        <v>44</v>
      </c>
      <c r="C21" t="s">
        <v>79</v>
      </c>
      <c r="D21" t="s">
        <v>80</v>
      </c>
      <c r="E21" t="s">
        <v>34</v>
      </c>
      <c r="F21" t="s">
        <v>35</v>
      </c>
      <c r="G21" t="s">
        <v>36</v>
      </c>
      <c r="H21" s="1">
        <v>46176</v>
      </c>
      <c r="I21">
        <v>280</v>
      </c>
      <c r="J21">
        <v>104</v>
      </c>
      <c r="K21" t="s">
        <v>29</v>
      </c>
      <c r="L21">
        <v>29120</v>
      </c>
      <c r="M21" t="str">
        <f t="shared" si="0"/>
        <v>MAT109|PL02|Vendor 1|03-Jun-2026</v>
      </c>
      <c r="N21" t="str">
        <f t="shared" si="1"/>
        <v>MAT109|PL02|03-Jun-2026</v>
      </c>
      <c r="O21" t="str">
        <f t="shared" si="2"/>
        <v>MAT109|Vendor 1|03-Jun-2026</v>
      </c>
      <c r="P21" t="str">
        <f t="shared" si="3"/>
        <v>MAT109|03-Jun-2026</v>
      </c>
      <c r="Q21">
        <f t="shared" si="4"/>
        <v>0</v>
      </c>
      <c r="R21">
        <f t="shared" si="5"/>
        <v>1</v>
      </c>
      <c r="S21">
        <f t="shared" si="6"/>
        <v>0</v>
      </c>
      <c r="T21">
        <f t="shared" si="7"/>
        <v>0</v>
      </c>
      <c r="U21">
        <f t="shared" si="8"/>
        <v>1</v>
      </c>
      <c r="V21" t="str">
        <f t="shared" si="9"/>
        <v>Scenario B</v>
      </c>
    </row>
    <row r="22" spans="1:22" x14ac:dyDescent="0.35">
      <c r="A22" t="s">
        <v>95</v>
      </c>
      <c r="B22" t="s">
        <v>31</v>
      </c>
      <c r="C22" t="s">
        <v>96</v>
      </c>
      <c r="D22" t="s">
        <v>97</v>
      </c>
      <c r="E22" t="s">
        <v>55</v>
      </c>
      <c r="F22" t="s">
        <v>56</v>
      </c>
      <c r="G22" t="s">
        <v>66</v>
      </c>
      <c r="H22" s="1">
        <v>46180</v>
      </c>
      <c r="I22">
        <v>220</v>
      </c>
      <c r="J22">
        <v>184</v>
      </c>
      <c r="K22" t="s">
        <v>29</v>
      </c>
      <c r="L22">
        <v>40480</v>
      </c>
      <c r="M22" t="str">
        <f t="shared" si="0"/>
        <v>MAT116|PL01|Vendor 10|07-Jun-2026</v>
      </c>
      <c r="N22" t="str">
        <f t="shared" si="1"/>
        <v>MAT116|PL01|07-Jun-2026</v>
      </c>
      <c r="O22" t="str">
        <f t="shared" si="2"/>
        <v>MAT116|Vendor 10|07-Jun-2026</v>
      </c>
      <c r="P22" t="str">
        <f t="shared" si="3"/>
        <v>MAT116|07-Jun-2026</v>
      </c>
      <c r="Q22">
        <f t="shared" si="4"/>
        <v>0</v>
      </c>
      <c r="R22">
        <f t="shared" si="5"/>
        <v>1</v>
      </c>
      <c r="S22">
        <f t="shared" si="6"/>
        <v>0</v>
      </c>
      <c r="T22">
        <f t="shared" si="7"/>
        <v>0</v>
      </c>
      <c r="U22">
        <f t="shared" si="8"/>
        <v>1</v>
      </c>
      <c r="V22" t="str">
        <f t="shared" si="9"/>
        <v>Scenario B</v>
      </c>
    </row>
    <row r="23" spans="1:22" x14ac:dyDescent="0.35">
      <c r="A23" t="s">
        <v>98</v>
      </c>
      <c r="B23" t="s">
        <v>23</v>
      </c>
      <c r="C23" t="s">
        <v>99</v>
      </c>
      <c r="D23" t="s">
        <v>100</v>
      </c>
      <c r="E23" t="s">
        <v>70</v>
      </c>
      <c r="F23" t="s">
        <v>71</v>
      </c>
      <c r="G23" t="s">
        <v>66</v>
      </c>
      <c r="H23" s="1">
        <v>46177</v>
      </c>
      <c r="I23">
        <v>140</v>
      </c>
      <c r="J23">
        <v>112</v>
      </c>
      <c r="K23" t="s">
        <v>29</v>
      </c>
      <c r="L23">
        <v>15680</v>
      </c>
      <c r="M23" t="str">
        <f t="shared" si="0"/>
        <v>MAT112|PL01|Vendor 7|04-Jun-2026</v>
      </c>
      <c r="N23" t="str">
        <f t="shared" si="1"/>
        <v>MAT112|PL01|04-Jun-2026</v>
      </c>
      <c r="O23" t="str">
        <f t="shared" si="2"/>
        <v>MAT112|Vendor 7|04-Jun-2026</v>
      </c>
      <c r="P23" t="str">
        <f t="shared" si="3"/>
        <v>MAT112|04-Jun-2026</v>
      </c>
      <c r="Q23">
        <f t="shared" si="4"/>
        <v>0</v>
      </c>
      <c r="R23">
        <f t="shared" si="5"/>
        <v>0</v>
      </c>
      <c r="S23">
        <f t="shared" si="6"/>
        <v>0</v>
      </c>
      <c r="T23">
        <f t="shared" si="7"/>
        <v>0</v>
      </c>
      <c r="U23">
        <f t="shared" si="8"/>
        <v>0</v>
      </c>
      <c r="V23" t="str">
        <f t="shared" si="9"/>
        <v>No Exception</v>
      </c>
    </row>
    <row r="24" spans="1:22" x14ac:dyDescent="0.35">
      <c r="A24" t="s">
        <v>101</v>
      </c>
      <c r="B24" t="s">
        <v>23</v>
      </c>
      <c r="C24" t="s">
        <v>76</v>
      </c>
      <c r="D24" t="s">
        <v>77</v>
      </c>
      <c r="E24" t="s">
        <v>102</v>
      </c>
      <c r="F24" t="s">
        <v>103</v>
      </c>
      <c r="G24" t="s">
        <v>28</v>
      </c>
      <c r="H24" s="1">
        <v>46175</v>
      </c>
      <c r="I24">
        <v>140</v>
      </c>
      <c r="J24">
        <v>97</v>
      </c>
      <c r="K24" t="s">
        <v>29</v>
      </c>
      <c r="L24">
        <v>13580</v>
      </c>
      <c r="M24" t="str">
        <f t="shared" si="0"/>
        <v>MAT102|PL04|Vendor 4|02-Jun-2026</v>
      </c>
      <c r="N24" t="str">
        <f t="shared" si="1"/>
        <v>MAT102|PL04|02-Jun-2026</v>
      </c>
      <c r="O24" t="str">
        <f t="shared" si="2"/>
        <v>MAT102|Vendor 4|02-Jun-2026</v>
      </c>
      <c r="P24" t="str">
        <f t="shared" si="3"/>
        <v>MAT102|02-Jun-2026</v>
      </c>
      <c r="Q24">
        <f t="shared" si="4"/>
        <v>0</v>
      </c>
      <c r="R24">
        <f t="shared" si="5"/>
        <v>0</v>
      </c>
      <c r="S24">
        <f t="shared" si="6"/>
        <v>0</v>
      </c>
      <c r="T24">
        <f t="shared" si="7"/>
        <v>0</v>
      </c>
      <c r="U24">
        <f t="shared" si="8"/>
        <v>0</v>
      </c>
      <c r="V24" t="str">
        <f t="shared" si="9"/>
        <v>No Exception</v>
      </c>
    </row>
    <row r="25" spans="1:22" x14ac:dyDescent="0.35">
      <c r="A25" t="s">
        <v>104</v>
      </c>
      <c r="B25" t="s">
        <v>23</v>
      </c>
      <c r="C25" t="s">
        <v>105</v>
      </c>
      <c r="D25" t="s">
        <v>106</v>
      </c>
      <c r="E25" t="s">
        <v>55</v>
      </c>
      <c r="F25" t="s">
        <v>56</v>
      </c>
      <c r="G25" t="s">
        <v>36</v>
      </c>
      <c r="H25" s="1">
        <v>46175</v>
      </c>
      <c r="I25">
        <v>100</v>
      </c>
      <c r="J25">
        <v>103</v>
      </c>
      <c r="K25" t="s">
        <v>29</v>
      </c>
      <c r="L25">
        <v>10300</v>
      </c>
      <c r="M25" t="str">
        <f t="shared" si="0"/>
        <v>MAT100|PL02|Vendor 10|02-Jun-2026</v>
      </c>
      <c r="N25" t="str">
        <f t="shared" si="1"/>
        <v>MAT100|PL02|02-Jun-2026</v>
      </c>
      <c r="O25" t="str">
        <f t="shared" si="2"/>
        <v>MAT100|Vendor 10|02-Jun-2026</v>
      </c>
      <c r="P25" t="str">
        <f t="shared" si="3"/>
        <v>MAT100|02-Jun-2026</v>
      </c>
      <c r="Q25">
        <f t="shared" si="4"/>
        <v>0</v>
      </c>
      <c r="R25">
        <f t="shared" si="5"/>
        <v>0</v>
      </c>
      <c r="S25">
        <f t="shared" si="6"/>
        <v>0</v>
      </c>
      <c r="T25">
        <f t="shared" si="7"/>
        <v>0</v>
      </c>
      <c r="U25">
        <f t="shared" si="8"/>
        <v>0</v>
      </c>
      <c r="V25" t="str">
        <f t="shared" si="9"/>
        <v>No Exception</v>
      </c>
    </row>
    <row r="26" spans="1:22" x14ac:dyDescent="0.35">
      <c r="A26" t="s">
        <v>107</v>
      </c>
      <c r="B26" t="s">
        <v>44</v>
      </c>
      <c r="C26" t="s">
        <v>108</v>
      </c>
      <c r="D26" t="s">
        <v>109</v>
      </c>
      <c r="E26" t="s">
        <v>55</v>
      </c>
      <c r="F26" t="s">
        <v>56</v>
      </c>
      <c r="G26" t="s">
        <v>28</v>
      </c>
      <c r="H26" s="1">
        <v>46183</v>
      </c>
      <c r="I26">
        <v>220</v>
      </c>
      <c r="J26">
        <v>74</v>
      </c>
      <c r="K26" t="s">
        <v>29</v>
      </c>
      <c r="L26">
        <v>16280</v>
      </c>
      <c r="M26" t="str">
        <f t="shared" si="0"/>
        <v>MAT106|PL04|Vendor 10|10-Jun-2026</v>
      </c>
      <c r="N26" t="str">
        <f t="shared" si="1"/>
        <v>MAT106|PL04|10-Jun-2026</v>
      </c>
      <c r="O26" t="str">
        <f t="shared" si="2"/>
        <v>MAT106|Vendor 10|10-Jun-2026</v>
      </c>
      <c r="P26" t="str">
        <f t="shared" si="3"/>
        <v>MAT106|10-Jun-2026</v>
      </c>
      <c r="Q26">
        <f t="shared" si="4"/>
        <v>0</v>
      </c>
      <c r="R26">
        <f t="shared" si="5"/>
        <v>0</v>
      </c>
      <c r="S26">
        <f t="shared" si="6"/>
        <v>0</v>
      </c>
      <c r="T26">
        <f t="shared" si="7"/>
        <v>0</v>
      </c>
      <c r="U26">
        <f t="shared" si="8"/>
        <v>0</v>
      </c>
      <c r="V26" t="str">
        <f t="shared" si="9"/>
        <v>No Exception</v>
      </c>
    </row>
    <row r="27" spans="1:22" x14ac:dyDescent="0.35">
      <c r="A27" t="s">
        <v>110</v>
      </c>
      <c r="B27" t="s">
        <v>31</v>
      </c>
      <c r="C27" t="s">
        <v>73</v>
      </c>
      <c r="D27" t="s">
        <v>74</v>
      </c>
      <c r="E27" t="s">
        <v>59</v>
      </c>
      <c r="F27" t="s">
        <v>60</v>
      </c>
      <c r="G27" t="s">
        <v>66</v>
      </c>
      <c r="H27" s="1">
        <v>46181</v>
      </c>
      <c r="I27">
        <v>120</v>
      </c>
      <c r="J27">
        <v>134</v>
      </c>
      <c r="K27" t="s">
        <v>29</v>
      </c>
      <c r="L27">
        <v>16080</v>
      </c>
      <c r="M27" t="str">
        <f t="shared" si="0"/>
        <v>MAT111|PL01|Vendor 8|08-Jun-2026</v>
      </c>
      <c r="N27" t="str">
        <f t="shared" si="1"/>
        <v>MAT111|PL01|08-Jun-2026</v>
      </c>
      <c r="O27" t="str">
        <f t="shared" si="2"/>
        <v>MAT111|Vendor 8|08-Jun-2026</v>
      </c>
      <c r="P27" t="str">
        <f t="shared" si="3"/>
        <v>MAT111|08-Jun-2026</v>
      </c>
      <c r="Q27">
        <f t="shared" si="4"/>
        <v>0</v>
      </c>
      <c r="R27">
        <f t="shared" si="5"/>
        <v>1</v>
      </c>
      <c r="S27">
        <f t="shared" si="6"/>
        <v>0</v>
      </c>
      <c r="T27">
        <f t="shared" si="7"/>
        <v>0</v>
      </c>
      <c r="U27">
        <f t="shared" si="8"/>
        <v>1</v>
      </c>
      <c r="V27" t="str">
        <f t="shared" si="9"/>
        <v>Scenario B</v>
      </c>
    </row>
    <row r="28" spans="1:22" x14ac:dyDescent="0.35">
      <c r="A28" t="s">
        <v>111</v>
      </c>
      <c r="B28" t="s">
        <v>44</v>
      </c>
      <c r="C28" t="s">
        <v>68</v>
      </c>
      <c r="D28" t="s">
        <v>69</v>
      </c>
      <c r="E28" t="s">
        <v>47</v>
      </c>
      <c r="F28" t="s">
        <v>48</v>
      </c>
      <c r="G28" t="s">
        <v>66</v>
      </c>
      <c r="H28" s="1">
        <v>46181</v>
      </c>
      <c r="I28">
        <v>200</v>
      </c>
      <c r="J28">
        <v>97</v>
      </c>
      <c r="K28" t="s">
        <v>29</v>
      </c>
      <c r="L28">
        <v>19400</v>
      </c>
      <c r="M28" t="str">
        <f t="shared" si="0"/>
        <v>MAT115|PL01|Vendor 5|08-Jun-2026</v>
      </c>
      <c r="N28" t="str">
        <f t="shared" si="1"/>
        <v>MAT115|PL01|08-Jun-2026</v>
      </c>
      <c r="O28" t="str">
        <f t="shared" si="2"/>
        <v>MAT115|Vendor 5|08-Jun-2026</v>
      </c>
      <c r="P28" t="str">
        <f t="shared" si="3"/>
        <v>MAT115|08-Jun-2026</v>
      </c>
      <c r="Q28">
        <f t="shared" si="4"/>
        <v>0</v>
      </c>
      <c r="R28">
        <f t="shared" si="5"/>
        <v>0</v>
      </c>
      <c r="S28">
        <f t="shared" si="6"/>
        <v>0</v>
      </c>
      <c r="T28">
        <f t="shared" si="7"/>
        <v>0</v>
      </c>
      <c r="U28">
        <f t="shared" si="8"/>
        <v>0</v>
      </c>
      <c r="V28" t="str">
        <f t="shared" si="9"/>
        <v>No Exception</v>
      </c>
    </row>
    <row r="29" spans="1:22" x14ac:dyDescent="0.35">
      <c r="A29" t="s">
        <v>112</v>
      </c>
      <c r="B29" t="s">
        <v>44</v>
      </c>
      <c r="C29" t="s">
        <v>50</v>
      </c>
      <c r="D29" t="s">
        <v>51</v>
      </c>
      <c r="E29" t="s">
        <v>113</v>
      </c>
      <c r="F29" t="s">
        <v>114</v>
      </c>
      <c r="G29" t="s">
        <v>66</v>
      </c>
      <c r="H29" s="1">
        <v>46176</v>
      </c>
      <c r="I29">
        <v>200</v>
      </c>
      <c r="J29">
        <v>145</v>
      </c>
      <c r="K29" t="s">
        <v>29</v>
      </c>
      <c r="L29">
        <v>29000</v>
      </c>
      <c r="M29" t="str">
        <f t="shared" si="0"/>
        <v>MAT105|PL01|Vendor 9|03-Jun-2026</v>
      </c>
      <c r="N29" t="str">
        <f t="shared" si="1"/>
        <v>MAT105|PL01|03-Jun-2026</v>
      </c>
      <c r="O29" t="str">
        <f t="shared" si="2"/>
        <v>MAT105|Vendor 9|03-Jun-2026</v>
      </c>
      <c r="P29" t="str">
        <f t="shared" si="3"/>
        <v>MAT105|03-Jun-2026</v>
      </c>
      <c r="Q29">
        <f t="shared" si="4"/>
        <v>0</v>
      </c>
      <c r="R29">
        <f t="shared" si="5"/>
        <v>0</v>
      </c>
      <c r="S29">
        <f t="shared" si="6"/>
        <v>0</v>
      </c>
      <c r="T29">
        <f t="shared" si="7"/>
        <v>0</v>
      </c>
      <c r="U29">
        <f t="shared" si="8"/>
        <v>0</v>
      </c>
      <c r="V29" t="str">
        <f t="shared" si="9"/>
        <v>No Exception</v>
      </c>
    </row>
    <row r="30" spans="1:22" x14ac:dyDescent="0.35">
      <c r="A30" t="s">
        <v>115</v>
      </c>
      <c r="B30" t="s">
        <v>44</v>
      </c>
      <c r="C30" t="s">
        <v>116</v>
      </c>
      <c r="D30" t="s">
        <v>117</v>
      </c>
      <c r="E30" t="s">
        <v>34</v>
      </c>
      <c r="F30" t="s">
        <v>35</v>
      </c>
      <c r="G30" t="s">
        <v>62</v>
      </c>
      <c r="H30" s="1">
        <v>46182</v>
      </c>
      <c r="I30">
        <v>220</v>
      </c>
      <c r="J30">
        <v>188</v>
      </c>
      <c r="K30" t="s">
        <v>29</v>
      </c>
      <c r="L30">
        <v>41360</v>
      </c>
      <c r="M30" t="str">
        <f t="shared" si="0"/>
        <v>MAT117|PL03|Vendor 1|09-Jun-2026</v>
      </c>
      <c r="N30" t="str">
        <f t="shared" si="1"/>
        <v>MAT117|PL03|09-Jun-2026</v>
      </c>
      <c r="O30" t="str">
        <f t="shared" si="2"/>
        <v>MAT117|Vendor 1|09-Jun-2026</v>
      </c>
      <c r="P30" t="str">
        <f t="shared" si="3"/>
        <v>MAT117|09-Jun-2026</v>
      </c>
      <c r="Q30">
        <f t="shared" si="4"/>
        <v>0</v>
      </c>
      <c r="R30">
        <f t="shared" si="5"/>
        <v>0</v>
      </c>
      <c r="S30">
        <f t="shared" si="6"/>
        <v>0</v>
      </c>
      <c r="T30">
        <f t="shared" si="7"/>
        <v>1</v>
      </c>
      <c r="U30">
        <f t="shared" si="8"/>
        <v>1</v>
      </c>
      <c r="V30" t="str">
        <f t="shared" si="9"/>
        <v>Scenario D</v>
      </c>
    </row>
    <row r="31" spans="1:22" x14ac:dyDescent="0.35">
      <c r="A31" t="s">
        <v>118</v>
      </c>
      <c r="B31" t="s">
        <v>44</v>
      </c>
      <c r="C31" t="s">
        <v>73</v>
      </c>
      <c r="D31" t="s">
        <v>74</v>
      </c>
      <c r="E31" t="s">
        <v>26</v>
      </c>
      <c r="F31" t="s">
        <v>27</v>
      </c>
      <c r="G31" t="s">
        <v>62</v>
      </c>
      <c r="H31" s="1">
        <v>46184</v>
      </c>
      <c r="I31">
        <v>160</v>
      </c>
      <c r="J31">
        <v>148</v>
      </c>
      <c r="K31" t="s">
        <v>29</v>
      </c>
      <c r="L31">
        <v>23680</v>
      </c>
      <c r="M31" t="str">
        <f t="shared" si="0"/>
        <v>MAT111|PL03|Vendor 3|11-Jun-2026</v>
      </c>
      <c r="N31" t="str">
        <f t="shared" si="1"/>
        <v>MAT111|PL03|11-Jun-2026</v>
      </c>
      <c r="O31" t="str">
        <f t="shared" si="2"/>
        <v>MAT111|Vendor 3|11-Jun-2026</v>
      </c>
      <c r="P31" t="str">
        <f t="shared" si="3"/>
        <v>MAT111|11-Jun-2026</v>
      </c>
      <c r="Q31">
        <f t="shared" si="4"/>
        <v>0</v>
      </c>
      <c r="R31">
        <f t="shared" si="5"/>
        <v>0</v>
      </c>
      <c r="S31">
        <f t="shared" si="6"/>
        <v>0</v>
      </c>
      <c r="T31">
        <f t="shared" si="7"/>
        <v>0</v>
      </c>
      <c r="U31">
        <f t="shared" si="8"/>
        <v>0</v>
      </c>
      <c r="V31" t="str">
        <f t="shared" si="9"/>
        <v>No Exception</v>
      </c>
    </row>
    <row r="32" spans="1:22" x14ac:dyDescent="0.35">
      <c r="A32" t="s">
        <v>119</v>
      </c>
      <c r="B32" t="s">
        <v>58</v>
      </c>
      <c r="C32" t="s">
        <v>38</v>
      </c>
      <c r="D32" t="s">
        <v>39</v>
      </c>
      <c r="E32" t="s">
        <v>55</v>
      </c>
      <c r="F32" t="s">
        <v>56</v>
      </c>
      <c r="G32" t="s">
        <v>36</v>
      </c>
      <c r="H32" s="1">
        <v>46177</v>
      </c>
      <c r="I32">
        <v>260</v>
      </c>
      <c r="J32">
        <v>199</v>
      </c>
      <c r="K32" t="s">
        <v>29</v>
      </c>
      <c r="L32">
        <v>51740</v>
      </c>
      <c r="M32" t="str">
        <f t="shared" si="0"/>
        <v>MAT107|PL02|Vendor 10|04-Jun-2026</v>
      </c>
      <c r="N32" t="str">
        <f t="shared" si="1"/>
        <v>MAT107|PL02|04-Jun-2026</v>
      </c>
      <c r="O32" t="str">
        <f t="shared" si="2"/>
        <v>MAT107|Vendor 10|04-Jun-2026</v>
      </c>
      <c r="P32" t="str">
        <f t="shared" si="3"/>
        <v>MAT107|04-Jun-2026</v>
      </c>
      <c r="Q32">
        <f t="shared" si="4"/>
        <v>1</v>
      </c>
      <c r="R32">
        <f t="shared" si="5"/>
        <v>0</v>
      </c>
      <c r="S32">
        <f t="shared" si="6"/>
        <v>0</v>
      </c>
      <c r="T32">
        <f t="shared" si="7"/>
        <v>0</v>
      </c>
      <c r="U32">
        <f t="shared" si="8"/>
        <v>1</v>
      </c>
      <c r="V32" t="str">
        <f t="shared" si="9"/>
        <v>Scenario A</v>
      </c>
    </row>
    <row r="33" spans="1:22" x14ac:dyDescent="0.35">
      <c r="A33" t="s">
        <v>120</v>
      </c>
      <c r="B33" t="s">
        <v>31</v>
      </c>
      <c r="C33" t="s">
        <v>96</v>
      </c>
      <c r="D33" t="s">
        <v>97</v>
      </c>
      <c r="E33" t="s">
        <v>59</v>
      </c>
      <c r="F33" t="s">
        <v>60</v>
      </c>
      <c r="G33" t="s">
        <v>62</v>
      </c>
      <c r="H33" s="1">
        <v>46178</v>
      </c>
      <c r="I33">
        <v>200</v>
      </c>
      <c r="J33">
        <v>81</v>
      </c>
      <c r="K33" t="s">
        <v>29</v>
      </c>
      <c r="L33">
        <v>16200</v>
      </c>
      <c r="M33" t="str">
        <f t="shared" si="0"/>
        <v>MAT116|PL03|Vendor 8|05-Jun-2026</v>
      </c>
      <c r="N33" t="str">
        <f t="shared" si="1"/>
        <v>MAT116|PL03|05-Jun-2026</v>
      </c>
      <c r="O33" t="str">
        <f t="shared" si="2"/>
        <v>MAT116|Vendor 8|05-Jun-2026</v>
      </c>
      <c r="P33" t="str">
        <f t="shared" si="3"/>
        <v>MAT116|05-Jun-2026</v>
      </c>
      <c r="Q33">
        <f t="shared" si="4"/>
        <v>0</v>
      </c>
      <c r="R33">
        <f t="shared" si="5"/>
        <v>0</v>
      </c>
      <c r="S33">
        <f t="shared" si="6"/>
        <v>0</v>
      </c>
      <c r="T33">
        <f t="shared" si="7"/>
        <v>0</v>
      </c>
      <c r="U33">
        <f t="shared" si="8"/>
        <v>0</v>
      </c>
      <c r="V33" t="str">
        <f t="shared" si="9"/>
        <v>No Exception</v>
      </c>
    </row>
    <row r="34" spans="1:22" x14ac:dyDescent="0.35">
      <c r="A34" t="s">
        <v>121</v>
      </c>
      <c r="B34" t="s">
        <v>44</v>
      </c>
      <c r="C34" t="s">
        <v>108</v>
      </c>
      <c r="D34" t="s">
        <v>109</v>
      </c>
      <c r="E34" t="s">
        <v>122</v>
      </c>
      <c r="F34" t="s">
        <v>123</v>
      </c>
      <c r="G34" t="s">
        <v>62</v>
      </c>
      <c r="H34" s="1">
        <v>46179</v>
      </c>
      <c r="I34">
        <v>220</v>
      </c>
      <c r="J34">
        <v>195</v>
      </c>
      <c r="K34" t="s">
        <v>29</v>
      </c>
      <c r="L34">
        <v>42900</v>
      </c>
      <c r="M34" t="str">
        <f t="shared" si="0"/>
        <v>MAT106|PL03|Vendor 12|06-Jun-2026</v>
      </c>
      <c r="N34" t="str">
        <f t="shared" si="1"/>
        <v>MAT106|PL03|06-Jun-2026</v>
      </c>
      <c r="O34" t="str">
        <f t="shared" si="2"/>
        <v>MAT106|Vendor 12|06-Jun-2026</v>
      </c>
      <c r="P34" t="str">
        <f t="shared" si="3"/>
        <v>MAT106|06-Jun-2026</v>
      </c>
      <c r="Q34">
        <f t="shared" si="4"/>
        <v>0</v>
      </c>
      <c r="R34">
        <f t="shared" si="5"/>
        <v>0</v>
      </c>
      <c r="S34">
        <f t="shared" si="6"/>
        <v>0</v>
      </c>
      <c r="T34">
        <f t="shared" si="7"/>
        <v>1</v>
      </c>
      <c r="U34">
        <f t="shared" si="8"/>
        <v>1</v>
      </c>
      <c r="V34" t="str">
        <f t="shared" si="9"/>
        <v>Scenario D</v>
      </c>
    </row>
    <row r="35" spans="1:22" x14ac:dyDescent="0.35">
      <c r="A35" t="s">
        <v>124</v>
      </c>
      <c r="B35" t="s">
        <v>44</v>
      </c>
      <c r="C35" t="s">
        <v>76</v>
      </c>
      <c r="D35" t="s">
        <v>77</v>
      </c>
      <c r="E35" t="s">
        <v>102</v>
      </c>
      <c r="F35" t="s">
        <v>103</v>
      </c>
      <c r="G35" t="s">
        <v>66</v>
      </c>
      <c r="H35" s="1">
        <v>46177</v>
      </c>
      <c r="I35">
        <v>140</v>
      </c>
      <c r="J35">
        <v>60</v>
      </c>
      <c r="K35" t="s">
        <v>29</v>
      </c>
      <c r="L35">
        <v>8400</v>
      </c>
      <c r="M35" t="str">
        <f t="shared" si="0"/>
        <v>MAT102|PL01|Vendor 4|04-Jun-2026</v>
      </c>
      <c r="N35" t="str">
        <f t="shared" si="1"/>
        <v>MAT102|PL01|04-Jun-2026</v>
      </c>
      <c r="O35" t="str">
        <f t="shared" si="2"/>
        <v>MAT102|Vendor 4|04-Jun-2026</v>
      </c>
      <c r="P35" t="str">
        <f t="shared" si="3"/>
        <v>MAT102|04-Jun-2026</v>
      </c>
      <c r="Q35">
        <f t="shared" si="4"/>
        <v>0</v>
      </c>
      <c r="R35">
        <f t="shared" si="5"/>
        <v>0</v>
      </c>
      <c r="S35">
        <f t="shared" si="6"/>
        <v>0</v>
      </c>
      <c r="T35">
        <f t="shared" si="7"/>
        <v>0</v>
      </c>
      <c r="U35">
        <f t="shared" si="8"/>
        <v>0</v>
      </c>
      <c r="V35" t="str">
        <f t="shared" si="9"/>
        <v>No Exception</v>
      </c>
    </row>
    <row r="36" spans="1:22" x14ac:dyDescent="0.35">
      <c r="A36" t="s">
        <v>125</v>
      </c>
      <c r="B36" t="s">
        <v>44</v>
      </c>
      <c r="C36" t="s">
        <v>68</v>
      </c>
      <c r="D36" t="s">
        <v>69</v>
      </c>
      <c r="E36" t="s">
        <v>55</v>
      </c>
      <c r="F36" t="s">
        <v>56</v>
      </c>
      <c r="G36" t="s">
        <v>66</v>
      </c>
      <c r="H36" s="1">
        <v>46186</v>
      </c>
      <c r="I36">
        <v>200</v>
      </c>
      <c r="J36">
        <v>177</v>
      </c>
      <c r="K36" t="s">
        <v>29</v>
      </c>
      <c r="L36">
        <v>35400</v>
      </c>
      <c r="M36" t="str">
        <f t="shared" si="0"/>
        <v>MAT115|PL01|Vendor 10|13-Jun-2026</v>
      </c>
      <c r="N36" t="str">
        <f t="shared" si="1"/>
        <v>MAT115|PL01|13-Jun-2026</v>
      </c>
      <c r="O36" t="str">
        <f t="shared" si="2"/>
        <v>MAT115|Vendor 10|13-Jun-2026</v>
      </c>
      <c r="P36" t="str">
        <f t="shared" si="3"/>
        <v>MAT115|13-Jun-2026</v>
      </c>
      <c r="Q36">
        <f t="shared" si="4"/>
        <v>0</v>
      </c>
      <c r="R36">
        <f t="shared" si="5"/>
        <v>0</v>
      </c>
      <c r="S36">
        <f t="shared" si="6"/>
        <v>0</v>
      </c>
      <c r="T36">
        <f t="shared" si="7"/>
        <v>0</v>
      </c>
      <c r="U36">
        <f t="shared" si="8"/>
        <v>0</v>
      </c>
      <c r="V36" t="str">
        <f t="shared" si="9"/>
        <v>No Exception</v>
      </c>
    </row>
    <row r="37" spans="1:22" x14ac:dyDescent="0.35">
      <c r="A37" t="s">
        <v>126</v>
      </c>
      <c r="B37" t="s">
        <v>58</v>
      </c>
      <c r="C37" t="s">
        <v>76</v>
      </c>
      <c r="D37" t="s">
        <v>77</v>
      </c>
      <c r="E37" t="s">
        <v>81</v>
      </c>
      <c r="F37" t="s">
        <v>82</v>
      </c>
      <c r="G37" t="s">
        <v>66</v>
      </c>
      <c r="H37" s="1">
        <v>46180</v>
      </c>
      <c r="I37">
        <v>130</v>
      </c>
      <c r="J37">
        <v>132</v>
      </c>
      <c r="K37" t="s">
        <v>29</v>
      </c>
      <c r="L37">
        <v>17160</v>
      </c>
      <c r="M37" t="str">
        <f t="shared" si="0"/>
        <v>MAT102|PL01|Vendor 11|07-Jun-2026</v>
      </c>
      <c r="N37" t="str">
        <f t="shared" si="1"/>
        <v>MAT102|PL01|07-Jun-2026</v>
      </c>
      <c r="O37" t="str">
        <f t="shared" si="2"/>
        <v>MAT102|Vendor 11|07-Jun-2026</v>
      </c>
      <c r="P37" t="str">
        <f t="shared" si="3"/>
        <v>MAT102|07-Jun-2026</v>
      </c>
      <c r="Q37">
        <f t="shared" si="4"/>
        <v>0</v>
      </c>
      <c r="R37">
        <f t="shared" si="5"/>
        <v>1</v>
      </c>
      <c r="S37">
        <f t="shared" si="6"/>
        <v>0</v>
      </c>
      <c r="T37">
        <f t="shared" si="7"/>
        <v>0</v>
      </c>
      <c r="U37">
        <f t="shared" si="8"/>
        <v>1</v>
      </c>
      <c r="V37" t="str">
        <f t="shared" si="9"/>
        <v>Scenario B</v>
      </c>
    </row>
    <row r="38" spans="1:22" x14ac:dyDescent="0.35">
      <c r="A38" t="s">
        <v>127</v>
      </c>
      <c r="B38" t="s">
        <v>23</v>
      </c>
      <c r="C38" t="s">
        <v>24</v>
      </c>
      <c r="D38" t="s">
        <v>25</v>
      </c>
      <c r="E38" t="s">
        <v>40</v>
      </c>
      <c r="F38" t="s">
        <v>41</v>
      </c>
      <c r="G38" t="s">
        <v>28</v>
      </c>
      <c r="H38" s="1">
        <v>46185</v>
      </c>
      <c r="I38">
        <v>100</v>
      </c>
      <c r="J38">
        <v>200</v>
      </c>
      <c r="K38" t="s">
        <v>29</v>
      </c>
      <c r="L38">
        <v>20000</v>
      </c>
      <c r="M38" t="str">
        <f t="shared" si="0"/>
        <v>MAT110|PL04|Vendor 2|12-Jun-2026</v>
      </c>
      <c r="N38" t="str">
        <f t="shared" si="1"/>
        <v>MAT110|PL04|12-Jun-2026</v>
      </c>
      <c r="O38" t="str">
        <f t="shared" si="2"/>
        <v>MAT110|Vendor 2|12-Jun-2026</v>
      </c>
      <c r="P38" t="str">
        <f t="shared" si="3"/>
        <v>MAT110|12-Jun-2026</v>
      </c>
      <c r="Q38">
        <f t="shared" si="4"/>
        <v>0</v>
      </c>
      <c r="R38">
        <f t="shared" si="5"/>
        <v>1</v>
      </c>
      <c r="S38">
        <f t="shared" si="6"/>
        <v>0</v>
      </c>
      <c r="T38">
        <f t="shared" si="7"/>
        <v>0</v>
      </c>
      <c r="U38">
        <f t="shared" si="8"/>
        <v>1</v>
      </c>
      <c r="V38" t="str">
        <f t="shared" si="9"/>
        <v>Scenario B</v>
      </c>
    </row>
    <row r="39" spans="1:22" x14ac:dyDescent="0.35">
      <c r="A39" t="s">
        <v>128</v>
      </c>
      <c r="B39" t="s">
        <v>31</v>
      </c>
      <c r="C39" t="s">
        <v>50</v>
      </c>
      <c r="D39" t="s">
        <v>51</v>
      </c>
      <c r="E39" t="s">
        <v>26</v>
      </c>
      <c r="F39" t="s">
        <v>27</v>
      </c>
      <c r="G39" t="s">
        <v>36</v>
      </c>
      <c r="H39" s="1">
        <v>46186</v>
      </c>
      <c r="I39">
        <v>200</v>
      </c>
      <c r="J39">
        <v>161</v>
      </c>
      <c r="K39" t="s">
        <v>29</v>
      </c>
      <c r="L39">
        <v>32200</v>
      </c>
      <c r="M39" t="str">
        <f t="shared" si="0"/>
        <v>MAT105|PL02|Vendor 3|13-Jun-2026</v>
      </c>
      <c r="N39" t="str">
        <f t="shared" si="1"/>
        <v>MAT105|PL02|13-Jun-2026</v>
      </c>
      <c r="O39" t="str">
        <f t="shared" si="2"/>
        <v>MAT105|Vendor 3|13-Jun-2026</v>
      </c>
      <c r="P39" t="str">
        <f t="shared" si="3"/>
        <v>MAT105|13-Jun-2026</v>
      </c>
      <c r="Q39">
        <f t="shared" si="4"/>
        <v>0</v>
      </c>
      <c r="R39">
        <f t="shared" si="5"/>
        <v>0</v>
      </c>
      <c r="S39">
        <f t="shared" si="6"/>
        <v>0</v>
      </c>
      <c r="T39">
        <f t="shared" si="7"/>
        <v>0</v>
      </c>
      <c r="U39">
        <f t="shared" si="8"/>
        <v>0</v>
      </c>
      <c r="V39" t="str">
        <f t="shared" si="9"/>
        <v>No Exception</v>
      </c>
    </row>
    <row r="40" spans="1:22" x14ac:dyDescent="0.35">
      <c r="A40" t="s">
        <v>129</v>
      </c>
      <c r="B40" t="s">
        <v>58</v>
      </c>
      <c r="C40" t="s">
        <v>45</v>
      </c>
      <c r="D40" t="s">
        <v>46</v>
      </c>
      <c r="E40" t="s">
        <v>55</v>
      </c>
      <c r="F40" t="s">
        <v>56</v>
      </c>
      <c r="G40" t="s">
        <v>28</v>
      </c>
      <c r="H40" s="1">
        <v>46182</v>
      </c>
      <c r="I40">
        <v>180</v>
      </c>
      <c r="J40">
        <v>99</v>
      </c>
      <c r="K40" t="s">
        <v>29</v>
      </c>
      <c r="L40">
        <v>17820</v>
      </c>
      <c r="M40" t="str">
        <f t="shared" si="0"/>
        <v>MAT104|PL04|Vendor 10|09-Jun-2026</v>
      </c>
      <c r="N40" t="str">
        <f t="shared" si="1"/>
        <v>MAT104|PL04|09-Jun-2026</v>
      </c>
      <c r="O40" t="str">
        <f t="shared" si="2"/>
        <v>MAT104|Vendor 10|09-Jun-2026</v>
      </c>
      <c r="P40" t="str">
        <f t="shared" si="3"/>
        <v>MAT104|09-Jun-2026</v>
      </c>
      <c r="Q40">
        <f t="shared" si="4"/>
        <v>0</v>
      </c>
      <c r="R40">
        <f t="shared" si="5"/>
        <v>1</v>
      </c>
      <c r="S40">
        <f t="shared" si="6"/>
        <v>0</v>
      </c>
      <c r="T40">
        <f t="shared" si="7"/>
        <v>0</v>
      </c>
      <c r="U40">
        <f t="shared" si="8"/>
        <v>1</v>
      </c>
      <c r="V40" t="str">
        <f t="shared" si="9"/>
        <v>Scenario B</v>
      </c>
    </row>
    <row r="41" spans="1:22" x14ac:dyDescent="0.35">
      <c r="A41" t="s">
        <v>130</v>
      </c>
      <c r="B41" t="s">
        <v>23</v>
      </c>
      <c r="C41" t="s">
        <v>116</v>
      </c>
      <c r="D41" t="s">
        <v>117</v>
      </c>
      <c r="E41" t="s">
        <v>26</v>
      </c>
      <c r="F41" t="s">
        <v>27</v>
      </c>
      <c r="G41" t="s">
        <v>66</v>
      </c>
      <c r="H41" s="1">
        <v>46182</v>
      </c>
      <c r="I41">
        <v>240</v>
      </c>
      <c r="J41">
        <v>195</v>
      </c>
      <c r="K41" t="s">
        <v>29</v>
      </c>
      <c r="L41">
        <v>46800</v>
      </c>
      <c r="M41" t="str">
        <f t="shared" si="0"/>
        <v>MAT117|PL01|Vendor 3|09-Jun-2026</v>
      </c>
      <c r="N41" t="str">
        <f t="shared" si="1"/>
        <v>MAT117|PL01|09-Jun-2026</v>
      </c>
      <c r="O41" t="str">
        <f t="shared" si="2"/>
        <v>MAT117|Vendor 3|09-Jun-2026</v>
      </c>
      <c r="P41" t="str">
        <f t="shared" si="3"/>
        <v>MAT117|09-Jun-2026</v>
      </c>
      <c r="Q41">
        <f t="shared" si="4"/>
        <v>0</v>
      </c>
      <c r="R41">
        <f t="shared" si="5"/>
        <v>0</v>
      </c>
      <c r="S41">
        <f t="shared" si="6"/>
        <v>0</v>
      </c>
      <c r="T41">
        <f t="shared" si="7"/>
        <v>1</v>
      </c>
      <c r="U41">
        <f t="shared" si="8"/>
        <v>1</v>
      </c>
      <c r="V41" t="str">
        <f t="shared" si="9"/>
        <v>Scenario D</v>
      </c>
    </row>
    <row r="42" spans="1:22" x14ac:dyDescent="0.35">
      <c r="A42" t="s">
        <v>131</v>
      </c>
      <c r="B42" t="s">
        <v>44</v>
      </c>
      <c r="C42" t="s">
        <v>45</v>
      </c>
      <c r="D42" t="s">
        <v>46</v>
      </c>
      <c r="E42" t="s">
        <v>70</v>
      </c>
      <c r="F42" t="s">
        <v>71</v>
      </c>
      <c r="G42" t="s">
        <v>36</v>
      </c>
      <c r="H42" s="1">
        <v>46177</v>
      </c>
      <c r="I42">
        <v>170</v>
      </c>
      <c r="J42">
        <v>17</v>
      </c>
      <c r="K42" t="s">
        <v>29</v>
      </c>
      <c r="L42">
        <v>2890</v>
      </c>
      <c r="M42" t="str">
        <f t="shared" si="0"/>
        <v>MAT104|PL02|Vendor 7|04-Jun-2026</v>
      </c>
      <c r="N42" t="str">
        <f t="shared" si="1"/>
        <v>MAT104|PL02|04-Jun-2026</v>
      </c>
      <c r="O42" t="str">
        <f t="shared" si="2"/>
        <v>MAT104|Vendor 7|04-Jun-2026</v>
      </c>
      <c r="P42" t="str">
        <f t="shared" si="3"/>
        <v>MAT104|04-Jun-2026</v>
      </c>
      <c r="Q42">
        <f t="shared" si="4"/>
        <v>0</v>
      </c>
      <c r="R42">
        <f t="shared" si="5"/>
        <v>0</v>
      </c>
      <c r="S42">
        <f t="shared" si="6"/>
        <v>1</v>
      </c>
      <c r="T42">
        <f t="shared" si="7"/>
        <v>0</v>
      </c>
      <c r="U42">
        <f t="shared" si="8"/>
        <v>1</v>
      </c>
      <c r="V42" t="str">
        <f t="shared" si="9"/>
        <v>Scenario C</v>
      </c>
    </row>
    <row r="43" spans="1:22" x14ac:dyDescent="0.35">
      <c r="A43" t="s">
        <v>132</v>
      </c>
      <c r="B43" t="s">
        <v>31</v>
      </c>
      <c r="C43" t="s">
        <v>79</v>
      </c>
      <c r="D43" t="s">
        <v>80</v>
      </c>
      <c r="E43" t="s">
        <v>113</v>
      </c>
      <c r="F43" t="s">
        <v>114</v>
      </c>
      <c r="G43" t="s">
        <v>36</v>
      </c>
      <c r="H43" s="1">
        <v>46187</v>
      </c>
      <c r="I43">
        <v>290</v>
      </c>
      <c r="J43">
        <v>76</v>
      </c>
      <c r="K43" t="s">
        <v>29</v>
      </c>
      <c r="L43">
        <v>22040</v>
      </c>
      <c r="M43" t="str">
        <f t="shared" si="0"/>
        <v>MAT109|PL02|Vendor 9|14-Jun-2026</v>
      </c>
      <c r="N43" t="str">
        <f t="shared" si="1"/>
        <v>MAT109|PL02|14-Jun-2026</v>
      </c>
      <c r="O43" t="str">
        <f t="shared" si="2"/>
        <v>MAT109|Vendor 9|14-Jun-2026</v>
      </c>
      <c r="P43" t="str">
        <f t="shared" si="3"/>
        <v>MAT109|14-Jun-2026</v>
      </c>
      <c r="Q43">
        <f t="shared" si="4"/>
        <v>0</v>
      </c>
      <c r="R43">
        <f t="shared" si="5"/>
        <v>0</v>
      </c>
      <c r="S43">
        <f t="shared" si="6"/>
        <v>0</v>
      </c>
      <c r="T43">
        <f t="shared" si="7"/>
        <v>0</v>
      </c>
      <c r="U43">
        <f t="shared" si="8"/>
        <v>0</v>
      </c>
      <c r="V43" t="str">
        <f t="shared" si="9"/>
        <v>No Exception</v>
      </c>
    </row>
    <row r="44" spans="1:22" x14ac:dyDescent="0.35">
      <c r="A44" t="s">
        <v>133</v>
      </c>
      <c r="B44" t="s">
        <v>31</v>
      </c>
      <c r="C44" t="s">
        <v>45</v>
      </c>
      <c r="D44" t="s">
        <v>46</v>
      </c>
      <c r="E44" t="s">
        <v>34</v>
      </c>
      <c r="F44" t="s">
        <v>35</v>
      </c>
      <c r="G44" t="s">
        <v>62</v>
      </c>
      <c r="H44" s="1">
        <v>46187</v>
      </c>
      <c r="I44">
        <v>220</v>
      </c>
      <c r="J44">
        <v>142</v>
      </c>
      <c r="K44" t="s">
        <v>29</v>
      </c>
      <c r="L44">
        <v>31240</v>
      </c>
      <c r="M44" t="str">
        <f t="shared" si="0"/>
        <v>MAT104|PL03|Vendor 1|14-Jun-2026</v>
      </c>
      <c r="N44" t="str">
        <f t="shared" si="1"/>
        <v>MAT104|PL03|14-Jun-2026</v>
      </c>
      <c r="O44" t="str">
        <f t="shared" si="2"/>
        <v>MAT104|Vendor 1|14-Jun-2026</v>
      </c>
      <c r="P44" t="str">
        <f t="shared" si="3"/>
        <v>MAT104|14-Jun-2026</v>
      </c>
      <c r="Q44">
        <f t="shared" si="4"/>
        <v>0</v>
      </c>
      <c r="R44">
        <f t="shared" si="5"/>
        <v>0</v>
      </c>
      <c r="S44">
        <f t="shared" si="6"/>
        <v>0</v>
      </c>
      <c r="T44">
        <f t="shared" si="7"/>
        <v>0</v>
      </c>
      <c r="U44">
        <f t="shared" si="8"/>
        <v>0</v>
      </c>
      <c r="V44" t="str">
        <f t="shared" si="9"/>
        <v>No Exception</v>
      </c>
    </row>
    <row r="45" spans="1:22" x14ac:dyDescent="0.35">
      <c r="A45" t="s">
        <v>134</v>
      </c>
      <c r="B45" t="s">
        <v>31</v>
      </c>
      <c r="C45" t="s">
        <v>96</v>
      </c>
      <c r="D45" t="s">
        <v>97</v>
      </c>
      <c r="E45" t="s">
        <v>26</v>
      </c>
      <c r="F45" t="s">
        <v>27</v>
      </c>
      <c r="G45" t="s">
        <v>36</v>
      </c>
      <c r="H45" s="1">
        <v>46186</v>
      </c>
      <c r="I45">
        <v>220</v>
      </c>
      <c r="J45">
        <v>14</v>
      </c>
      <c r="K45" t="s">
        <v>29</v>
      </c>
      <c r="L45">
        <v>3080</v>
      </c>
      <c r="M45" t="str">
        <f t="shared" si="0"/>
        <v>MAT116|PL02|Vendor 3|13-Jun-2026</v>
      </c>
      <c r="N45" t="str">
        <f t="shared" si="1"/>
        <v>MAT116|PL02|13-Jun-2026</v>
      </c>
      <c r="O45" t="str">
        <f t="shared" si="2"/>
        <v>MAT116|Vendor 3|13-Jun-2026</v>
      </c>
      <c r="P45" t="str">
        <f t="shared" si="3"/>
        <v>MAT116|13-Jun-2026</v>
      </c>
      <c r="Q45">
        <f t="shared" si="4"/>
        <v>0</v>
      </c>
      <c r="R45">
        <f t="shared" si="5"/>
        <v>0</v>
      </c>
      <c r="S45">
        <f t="shared" si="6"/>
        <v>0</v>
      </c>
      <c r="T45">
        <f t="shared" si="7"/>
        <v>0</v>
      </c>
      <c r="U45">
        <f t="shared" si="8"/>
        <v>0</v>
      </c>
      <c r="V45" t="str">
        <f t="shared" si="9"/>
        <v>No Exception</v>
      </c>
    </row>
    <row r="46" spans="1:22" x14ac:dyDescent="0.35">
      <c r="A46" t="s">
        <v>135</v>
      </c>
      <c r="B46" t="s">
        <v>58</v>
      </c>
      <c r="C46" t="s">
        <v>50</v>
      </c>
      <c r="D46" t="s">
        <v>51</v>
      </c>
      <c r="E46" t="s">
        <v>55</v>
      </c>
      <c r="F46" t="s">
        <v>56</v>
      </c>
      <c r="G46" t="s">
        <v>66</v>
      </c>
      <c r="H46" s="1">
        <v>46181</v>
      </c>
      <c r="I46">
        <v>190</v>
      </c>
      <c r="J46">
        <v>54</v>
      </c>
      <c r="K46" t="s">
        <v>29</v>
      </c>
      <c r="L46">
        <v>10260</v>
      </c>
      <c r="M46" t="str">
        <f t="shared" si="0"/>
        <v>MAT105|PL01|Vendor 10|08-Jun-2026</v>
      </c>
      <c r="N46" t="str">
        <f t="shared" si="1"/>
        <v>MAT105|PL01|08-Jun-2026</v>
      </c>
      <c r="O46" t="str">
        <f t="shared" si="2"/>
        <v>MAT105|Vendor 10|08-Jun-2026</v>
      </c>
      <c r="P46" t="str">
        <f t="shared" si="3"/>
        <v>MAT105|08-Jun-2026</v>
      </c>
      <c r="Q46">
        <f t="shared" si="4"/>
        <v>0</v>
      </c>
      <c r="R46">
        <f t="shared" si="5"/>
        <v>0</v>
      </c>
      <c r="S46">
        <f t="shared" si="6"/>
        <v>0</v>
      </c>
      <c r="T46">
        <f t="shared" si="7"/>
        <v>0</v>
      </c>
      <c r="U46">
        <f t="shared" si="8"/>
        <v>0</v>
      </c>
      <c r="V46" t="str">
        <f t="shared" si="9"/>
        <v>No Exception</v>
      </c>
    </row>
    <row r="47" spans="1:22" x14ac:dyDescent="0.35">
      <c r="A47" t="s">
        <v>136</v>
      </c>
      <c r="B47" t="s">
        <v>31</v>
      </c>
      <c r="C47" t="s">
        <v>64</v>
      </c>
      <c r="D47" t="s">
        <v>65</v>
      </c>
      <c r="E47" t="s">
        <v>122</v>
      </c>
      <c r="F47" t="s">
        <v>123</v>
      </c>
      <c r="G47" t="s">
        <v>66</v>
      </c>
      <c r="H47" s="1">
        <v>46186</v>
      </c>
      <c r="I47">
        <v>280</v>
      </c>
      <c r="J47">
        <v>93</v>
      </c>
      <c r="K47" t="s">
        <v>29</v>
      </c>
      <c r="L47">
        <v>26040</v>
      </c>
      <c r="M47" t="str">
        <f t="shared" si="0"/>
        <v>MAT119|PL01|Vendor 12|13-Jun-2026</v>
      </c>
      <c r="N47" t="str">
        <f t="shared" si="1"/>
        <v>MAT119|PL01|13-Jun-2026</v>
      </c>
      <c r="O47" t="str">
        <f t="shared" si="2"/>
        <v>MAT119|Vendor 12|13-Jun-2026</v>
      </c>
      <c r="P47" t="str">
        <f t="shared" si="3"/>
        <v>MAT119|13-Jun-2026</v>
      </c>
      <c r="Q47">
        <f t="shared" si="4"/>
        <v>0</v>
      </c>
      <c r="R47">
        <f t="shared" si="5"/>
        <v>0</v>
      </c>
      <c r="S47">
        <f t="shared" si="6"/>
        <v>1</v>
      </c>
      <c r="T47">
        <f t="shared" si="7"/>
        <v>0</v>
      </c>
      <c r="U47">
        <f t="shared" si="8"/>
        <v>1</v>
      </c>
      <c r="V47" t="str">
        <f t="shared" si="9"/>
        <v>Scenario C</v>
      </c>
    </row>
    <row r="48" spans="1:22" x14ac:dyDescent="0.35">
      <c r="A48" t="s">
        <v>137</v>
      </c>
      <c r="B48" t="s">
        <v>23</v>
      </c>
      <c r="C48" t="s">
        <v>138</v>
      </c>
      <c r="D48" t="s">
        <v>139</v>
      </c>
      <c r="E48" t="s">
        <v>113</v>
      </c>
      <c r="F48" t="s">
        <v>114</v>
      </c>
      <c r="G48" t="s">
        <v>66</v>
      </c>
      <c r="H48" s="1">
        <v>46186</v>
      </c>
      <c r="I48">
        <v>160</v>
      </c>
      <c r="J48">
        <v>80</v>
      </c>
      <c r="K48" t="s">
        <v>29</v>
      </c>
      <c r="L48">
        <v>12800</v>
      </c>
      <c r="M48" t="str">
        <f t="shared" si="0"/>
        <v>MAT103|PL01|Vendor 9|13-Jun-2026</v>
      </c>
      <c r="N48" t="str">
        <f t="shared" si="1"/>
        <v>MAT103|PL01|13-Jun-2026</v>
      </c>
      <c r="O48" t="str">
        <f t="shared" si="2"/>
        <v>MAT103|Vendor 9|13-Jun-2026</v>
      </c>
      <c r="P48" t="str">
        <f t="shared" si="3"/>
        <v>MAT103|13-Jun-2026</v>
      </c>
      <c r="Q48">
        <f t="shared" si="4"/>
        <v>0</v>
      </c>
      <c r="R48">
        <f t="shared" si="5"/>
        <v>0</v>
      </c>
      <c r="S48">
        <f t="shared" si="6"/>
        <v>0</v>
      </c>
      <c r="T48">
        <f t="shared" si="7"/>
        <v>0</v>
      </c>
      <c r="U48">
        <f t="shared" si="8"/>
        <v>0</v>
      </c>
      <c r="V48" t="str">
        <f t="shared" si="9"/>
        <v>No Exception</v>
      </c>
    </row>
    <row r="49" spans="1:22" x14ac:dyDescent="0.35">
      <c r="A49" t="s">
        <v>140</v>
      </c>
      <c r="B49" t="s">
        <v>31</v>
      </c>
      <c r="C49" t="s">
        <v>138</v>
      </c>
      <c r="D49" t="s">
        <v>139</v>
      </c>
      <c r="E49" t="s">
        <v>113</v>
      </c>
      <c r="F49" t="s">
        <v>114</v>
      </c>
      <c r="G49" t="s">
        <v>28</v>
      </c>
      <c r="H49" s="1">
        <v>46179</v>
      </c>
      <c r="I49">
        <v>160</v>
      </c>
      <c r="J49">
        <v>26</v>
      </c>
      <c r="K49" t="s">
        <v>29</v>
      </c>
      <c r="L49">
        <v>4160</v>
      </c>
      <c r="M49" t="str">
        <f t="shared" si="0"/>
        <v>MAT103|PL04|Vendor 9|06-Jun-2026</v>
      </c>
      <c r="N49" t="str">
        <f t="shared" si="1"/>
        <v>MAT103|PL04|06-Jun-2026</v>
      </c>
      <c r="O49" t="str">
        <f t="shared" si="2"/>
        <v>MAT103|Vendor 9|06-Jun-2026</v>
      </c>
      <c r="P49" t="str">
        <f t="shared" si="3"/>
        <v>MAT103|06-Jun-2026</v>
      </c>
      <c r="Q49">
        <f t="shared" si="4"/>
        <v>0</v>
      </c>
      <c r="R49">
        <f t="shared" si="5"/>
        <v>0</v>
      </c>
      <c r="S49">
        <f t="shared" si="6"/>
        <v>0</v>
      </c>
      <c r="T49">
        <f t="shared" si="7"/>
        <v>0</v>
      </c>
      <c r="U49">
        <f t="shared" si="8"/>
        <v>0</v>
      </c>
      <c r="V49" t="str">
        <f t="shared" si="9"/>
        <v>No Exception</v>
      </c>
    </row>
    <row r="50" spans="1:22" x14ac:dyDescent="0.35">
      <c r="A50" t="s">
        <v>141</v>
      </c>
      <c r="B50" t="s">
        <v>31</v>
      </c>
      <c r="C50" t="s">
        <v>64</v>
      </c>
      <c r="D50" t="s">
        <v>65</v>
      </c>
      <c r="E50" t="s">
        <v>113</v>
      </c>
      <c r="F50" t="s">
        <v>114</v>
      </c>
      <c r="G50" t="s">
        <v>36</v>
      </c>
      <c r="H50" s="1">
        <v>46182</v>
      </c>
      <c r="I50">
        <v>280</v>
      </c>
      <c r="J50">
        <v>125</v>
      </c>
      <c r="K50" t="s">
        <v>29</v>
      </c>
      <c r="L50">
        <v>35000</v>
      </c>
      <c r="M50" t="str">
        <f t="shared" si="0"/>
        <v>MAT119|PL02|Vendor 9|09-Jun-2026</v>
      </c>
      <c r="N50" t="str">
        <f t="shared" si="1"/>
        <v>MAT119|PL02|09-Jun-2026</v>
      </c>
      <c r="O50" t="str">
        <f t="shared" si="2"/>
        <v>MAT119|Vendor 9|09-Jun-2026</v>
      </c>
      <c r="P50" t="str">
        <f t="shared" si="3"/>
        <v>MAT119|09-Jun-2026</v>
      </c>
      <c r="Q50">
        <f t="shared" si="4"/>
        <v>0</v>
      </c>
      <c r="R50">
        <f t="shared" si="5"/>
        <v>0</v>
      </c>
      <c r="S50">
        <f t="shared" si="6"/>
        <v>0</v>
      </c>
      <c r="T50">
        <f t="shared" si="7"/>
        <v>0</v>
      </c>
      <c r="U50">
        <f t="shared" si="8"/>
        <v>0</v>
      </c>
      <c r="V50" t="str">
        <f t="shared" si="9"/>
        <v>No Exception</v>
      </c>
    </row>
    <row r="51" spans="1:22" x14ac:dyDescent="0.35">
      <c r="A51" t="s">
        <v>142</v>
      </c>
      <c r="B51" t="s">
        <v>58</v>
      </c>
      <c r="C51" t="s">
        <v>38</v>
      </c>
      <c r="D51" t="s">
        <v>39</v>
      </c>
      <c r="E51" t="s">
        <v>122</v>
      </c>
      <c r="F51" t="s">
        <v>123</v>
      </c>
      <c r="G51" t="s">
        <v>62</v>
      </c>
      <c r="H51" s="1">
        <v>46180</v>
      </c>
      <c r="I51">
        <v>230</v>
      </c>
      <c r="J51">
        <v>124</v>
      </c>
      <c r="K51" t="s">
        <v>29</v>
      </c>
      <c r="L51">
        <v>28520</v>
      </c>
      <c r="M51" t="str">
        <f t="shared" si="0"/>
        <v>MAT107|PL03|Vendor 12|07-Jun-2026</v>
      </c>
      <c r="N51" t="str">
        <f t="shared" si="1"/>
        <v>MAT107|PL03|07-Jun-2026</v>
      </c>
      <c r="O51" t="str">
        <f t="shared" si="2"/>
        <v>MAT107|Vendor 12|07-Jun-2026</v>
      </c>
      <c r="P51" t="str">
        <f t="shared" si="3"/>
        <v>MAT107|07-Jun-2026</v>
      </c>
      <c r="Q51">
        <f t="shared" si="4"/>
        <v>0</v>
      </c>
      <c r="R51">
        <f t="shared" si="5"/>
        <v>0</v>
      </c>
      <c r="S51">
        <f t="shared" si="6"/>
        <v>0</v>
      </c>
      <c r="T51">
        <f t="shared" si="7"/>
        <v>0</v>
      </c>
      <c r="U51">
        <f t="shared" si="8"/>
        <v>0</v>
      </c>
      <c r="V51" t="str">
        <f t="shared" si="9"/>
        <v>No Exception</v>
      </c>
    </row>
    <row r="52" spans="1:22" x14ac:dyDescent="0.35">
      <c r="A52" t="s">
        <v>143</v>
      </c>
      <c r="B52" t="s">
        <v>58</v>
      </c>
      <c r="C52" t="s">
        <v>138</v>
      </c>
      <c r="D52" t="s">
        <v>139</v>
      </c>
      <c r="E52" t="s">
        <v>70</v>
      </c>
      <c r="F52" t="s">
        <v>71</v>
      </c>
      <c r="G52" t="s">
        <v>28</v>
      </c>
      <c r="H52" s="1">
        <v>46180</v>
      </c>
      <c r="I52">
        <v>160</v>
      </c>
      <c r="J52">
        <v>181</v>
      </c>
      <c r="K52" t="s">
        <v>29</v>
      </c>
      <c r="L52">
        <v>28960</v>
      </c>
      <c r="M52" t="str">
        <f t="shared" si="0"/>
        <v>MAT103|PL04|Vendor 7|07-Jun-2026</v>
      </c>
      <c r="N52" t="str">
        <f t="shared" si="1"/>
        <v>MAT103|PL04|07-Jun-2026</v>
      </c>
      <c r="O52" t="str">
        <f t="shared" si="2"/>
        <v>MAT103|Vendor 7|07-Jun-2026</v>
      </c>
      <c r="P52" t="str">
        <f t="shared" si="3"/>
        <v>MAT103|07-Jun-2026</v>
      </c>
      <c r="Q52">
        <f t="shared" si="4"/>
        <v>0</v>
      </c>
      <c r="R52">
        <f t="shared" si="5"/>
        <v>0</v>
      </c>
      <c r="S52">
        <f t="shared" si="6"/>
        <v>1</v>
      </c>
      <c r="T52">
        <f t="shared" si="7"/>
        <v>0</v>
      </c>
      <c r="U52">
        <f t="shared" si="8"/>
        <v>1</v>
      </c>
      <c r="V52" t="str">
        <f t="shared" si="9"/>
        <v>Scenario C</v>
      </c>
    </row>
    <row r="53" spans="1:22" x14ac:dyDescent="0.35">
      <c r="A53" t="s">
        <v>144</v>
      </c>
      <c r="B53" t="s">
        <v>44</v>
      </c>
      <c r="C53" t="s">
        <v>76</v>
      </c>
      <c r="D53" t="s">
        <v>77</v>
      </c>
      <c r="E53" t="s">
        <v>102</v>
      </c>
      <c r="F53" t="s">
        <v>103</v>
      </c>
      <c r="G53" t="s">
        <v>62</v>
      </c>
      <c r="H53" s="1">
        <v>46176</v>
      </c>
      <c r="I53">
        <v>130</v>
      </c>
      <c r="J53">
        <v>193</v>
      </c>
      <c r="K53" t="s">
        <v>29</v>
      </c>
      <c r="L53">
        <v>25090</v>
      </c>
      <c r="M53" t="str">
        <f t="shared" si="0"/>
        <v>MAT102|PL03|Vendor 4|03-Jun-2026</v>
      </c>
      <c r="N53" t="str">
        <f t="shared" si="1"/>
        <v>MAT102|PL03|03-Jun-2026</v>
      </c>
      <c r="O53" t="str">
        <f t="shared" si="2"/>
        <v>MAT102|Vendor 4|03-Jun-2026</v>
      </c>
      <c r="P53" t="str">
        <f t="shared" si="3"/>
        <v>MAT102|03-Jun-2026</v>
      </c>
      <c r="Q53">
        <f t="shared" si="4"/>
        <v>0</v>
      </c>
      <c r="R53">
        <f t="shared" si="5"/>
        <v>0</v>
      </c>
      <c r="S53">
        <f t="shared" si="6"/>
        <v>0</v>
      </c>
      <c r="T53">
        <f t="shared" si="7"/>
        <v>0</v>
      </c>
      <c r="U53">
        <f t="shared" si="8"/>
        <v>0</v>
      </c>
      <c r="V53" t="str">
        <f t="shared" si="9"/>
        <v>No Exception</v>
      </c>
    </row>
    <row r="54" spans="1:22" x14ac:dyDescent="0.35">
      <c r="A54" t="s">
        <v>145</v>
      </c>
      <c r="B54" t="s">
        <v>31</v>
      </c>
      <c r="C54" t="s">
        <v>146</v>
      </c>
      <c r="D54" t="s">
        <v>147</v>
      </c>
      <c r="E54" t="s">
        <v>26</v>
      </c>
      <c r="F54" t="s">
        <v>27</v>
      </c>
      <c r="G54" t="s">
        <v>28</v>
      </c>
      <c r="H54" s="1">
        <v>46188</v>
      </c>
      <c r="I54">
        <v>260</v>
      </c>
      <c r="J54">
        <v>34</v>
      </c>
      <c r="K54" t="s">
        <v>29</v>
      </c>
      <c r="L54">
        <v>8840</v>
      </c>
      <c r="M54" t="str">
        <f t="shared" si="0"/>
        <v>MAT108|PL04|Vendor 3|15-Jun-2026</v>
      </c>
      <c r="N54" t="str">
        <f t="shared" si="1"/>
        <v>MAT108|PL04|15-Jun-2026</v>
      </c>
      <c r="O54" t="str">
        <f t="shared" si="2"/>
        <v>MAT108|Vendor 3|15-Jun-2026</v>
      </c>
      <c r="P54" t="str">
        <f t="shared" si="3"/>
        <v>MAT108|15-Jun-2026</v>
      </c>
      <c r="Q54">
        <f t="shared" si="4"/>
        <v>0</v>
      </c>
      <c r="R54">
        <f t="shared" si="5"/>
        <v>0</v>
      </c>
      <c r="S54">
        <f t="shared" si="6"/>
        <v>0</v>
      </c>
      <c r="T54">
        <f t="shared" si="7"/>
        <v>0</v>
      </c>
      <c r="U54">
        <f t="shared" si="8"/>
        <v>0</v>
      </c>
      <c r="V54" t="str">
        <f t="shared" si="9"/>
        <v>No Exception</v>
      </c>
    </row>
    <row r="55" spans="1:22" x14ac:dyDescent="0.35">
      <c r="A55" t="s">
        <v>148</v>
      </c>
      <c r="B55" t="s">
        <v>31</v>
      </c>
      <c r="C55" t="s">
        <v>68</v>
      </c>
      <c r="D55" t="s">
        <v>69</v>
      </c>
      <c r="E55" t="s">
        <v>26</v>
      </c>
      <c r="F55" t="s">
        <v>27</v>
      </c>
      <c r="G55" t="s">
        <v>36</v>
      </c>
      <c r="H55" s="1">
        <v>46179</v>
      </c>
      <c r="I55">
        <v>200</v>
      </c>
      <c r="J55">
        <v>120</v>
      </c>
      <c r="K55" t="s">
        <v>29</v>
      </c>
      <c r="L55">
        <v>24000</v>
      </c>
      <c r="M55" t="str">
        <f t="shared" si="0"/>
        <v>MAT115|PL02|Vendor 3|06-Jun-2026</v>
      </c>
      <c r="N55" t="str">
        <f t="shared" si="1"/>
        <v>MAT115|PL02|06-Jun-2026</v>
      </c>
      <c r="O55" t="str">
        <f t="shared" si="2"/>
        <v>MAT115|Vendor 3|06-Jun-2026</v>
      </c>
      <c r="P55" t="str">
        <f t="shared" si="3"/>
        <v>MAT115|06-Jun-2026</v>
      </c>
      <c r="Q55">
        <f t="shared" si="4"/>
        <v>0</v>
      </c>
      <c r="R55">
        <f t="shared" si="5"/>
        <v>0</v>
      </c>
      <c r="S55">
        <f t="shared" si="6"/>
        <v>0</v>
      </c>
      <c r="T55">
        <f t="shared" si="7"/>
        <v>1</v>
      </c>
      <c r="U55">
        <f t="shared" si="8"/>
        <v>1</v>
      </c>
      <c r="V55" t="str">
        <f t="shared" si="9"/>
        <v>Scenario D</v>
      </c>
    </row>
    <row r="56" spans="1:22" x14ac:dyDescent="0.35">
      <c r="A56" t="s">
        <v>149</v>
      </c>
      <c r="B56" t="s">
        <v>44</v>
      </c>
      <c r="C56" t="s">
        <v>91</v>
      </c>
      <c r="D56" t="s">
        <v>92</v>
      </c>
      <c r="E56" t="s">
        <v>102</v>
      </c>
      <c r="F56" t="s">
        <v>103</v>
      </c>
      <c r="G56" t="s">
        <v>62</v>
      </c>
      <c r="H56" s="1">
        <v>46174</v>
      </c>
      <c r="I56">
        <v>160</v>
      </c>
      <c r="J56">
        <v>194</v>
      </c>
      <c r="K56" t="s">
        <v>29</v>
      </c>
      <c r="L56">
        <v>31040</v>
      </c>
      <c r="M56" t="str">
        <f t="shared" si="0"/>
        <v>MAT113|PL03|Vendor 4|01-Jun-2026</v>
      </c>
      <c r="N56" t="str">
        <f t="shared" si="1"/>
        <v>MAT113|PL03|01-Jun-2026</v>
      </c>
      <c r="O56" t="str">
        <f t="shared" si="2"/>
        <v>MAT113|Vendor 4|01-Jun-2026</v>
      </c>
      <c r="P56" t="str">
        <f t="shared" si="3"/>
        <v>MAT113|01-Jun-2026</v>
      </c>
      <c r="Q56">
        <f t="shared" si="4"/>
        <v>0</v>
      </c>
      <c r="R56">
        <f t="shared" si="5"/>
        <v>0</v>
      </c>
      <c r="S56">
        <f t="shared" si="6"/>
        <v>0</v>
      </c>
      <c r="T56">
        <f t="shared" si="7"/>
        <v>0</v>
      </c>
      <c r="U56">
        <f t="shared" si="8"/>
        <v>0</v>
      </c>
      <c r="V56" t="str">
        <f t="shared" si="9"/>
        <v>No Exception</v>
      </c>
    </row>
    <row r="57" spans="1:22" x14ac:dyDescent="0.35">
      <c r="A57" t="s">
        <v>150</v>
      </c>
      <c r="B57" t="s">
        <v>31</v>
      </c>
      <c r="C57" t="s">
        <v>24</v>
      </c>
      <c r="D57" t="s">
        <v>25</v>
      </c>
      <c r="E57" t="s">
        <v>113</v>
      </c>
      <c r="F57" t="s">
        <v>114</v>
      </c>
      <c r="G57" t="s">
        <v>28</v>
      </c>
      <c r="H57" s="1">
        <v>46179</v>
      </c>
      <c r="I57">
        <v>100</v>
      </c>
      <c r="J57">
        <v>14</v>
      </c>
      <c r="K57" t="s">
        <v>29</v>
      </c>
      <c r="L57">
        <v>1400</v>
      </c>
      <c r="M57" t="str">
        <f t="shared" si="0"/>
        <v>MAT110|PL04|Vendor 9|06-Jun-2026</v>
      </c>
      <c r="N57" t="str">
        <f t="shared" si="1"/>
        <v>MAT110|PL04|06-Jun-2026</v>
      </c>
      <c r="O57" t="str">
        <f t="shared" si="2"/>
        <v>MAT110|Vendor 9|06-Jun-2026</v>
      </c>
      <c r="P57" t="str">
        <f t="shared" si="3"/>
        <v>MAT110|06-Jun-2026</v>
      </c>
      <c r="Q57">
        <f t="shared" si="4"/>
        <v>0</v>
      </c>
      <c r="R57">
        <f t="shared" si="5"/>
        <v>1</v>
      </c>
      <c r="S57">
        <f t="shared" si="6"/>
        <v>0</v>
      </c>
      <c r="T57">
        <f t="shared" si="7"/>
        <v>0</v>
      </c>
      <c r="U57">
        <f t="shared" si="8"/>
        <v>1</v>
      </c>
      <c r="V57" t="str">
        <f t="shared" si="9"/>
        <v>Scenario B</v>
      </c>
    </row>
    <row r="58" spans="1:22" x14ac:dyDescent="0.35">
      <c r="A58" t="s">
        <v>151</v>
      </c>
      <c r="B58" t="s">
        <v>23</v>
      </c>
      <c r="C58" t="s">
        <v>96</v>
      </c>
      <c r="D58" t="s">
        <v>97</v>
      </c>
      <c r="E58" t="s">
        <v>55</v>
      </c>
      <c r="F58" t="s">
        <v>56</v>
      </c>
      <c r="G58" t="s">
        <v>62</v>
      </c>
      <c r="H58" s="1">
        <v>46188</v>
      </c>
      <c r="I58">
        <v>220</v>
      </c>
      <c r="J58">
        <v>26</v>
      </c>
      <c r="K58" t="s">
        <v>29</v>
      </c>
      <c r="L58">
        <v>5720</v>
      </c>
      <c r="M58" t="str">
        <f t="shared" si="0"/>
        <v>MAT116|PL03|Vendor 10|15-Jun-2026</v>
      </c>
      <c r="N58" t="str">
        <f t="shared" si="1"/>
        <v>MAT116|PL03|15-Jun-2026</v>
      </c>
      <c r="O58" t="str">
        <f t="shared" si="2"/>
        <v>MAT116|Vendor 10|15-Jun-2026</v>
      </c>
      <c r="P58" t="str">
        <f t="shared" si="3"/>
        <v>MAT116|15-Jun-2026</v>
      </c>
      <c r="Q58">
        <f t="shared" si="4"/>
        <v>0</v>
      </c>
      <c r="R58">
        <f t="shared" si="5"/>
        <v>1</v>
      </c>
      <c r="S58">
        <f t="shared" si="6"/>
        <v>0</v>
      </c>
      <c r="T58">
        <f t="shared" si="7"/>
        <v>0</v>
      </c>
      <c r="U58">
        <f t="shared" si="8"/>
        <v>1</v>
      </c>
      <c r="V58" t="str">
        <f t="shared" si="9"/>
        <v>Scenario B</v>
      </c>
    </row>
    <row r="59" spans="1:22" x14ac:dyDescent="0.35">
      <c r="A59" t="s">
        <v>152</v>
      </c>
      <c r="B59" t="s">
        <v>58</v>
      </c>
      <c r="C59" t="s">
        <v>38</v>
      </c>
      <c r="D59" t="s">
        <v>39</v>
      </c>
      <c r="E59" t="s">
        <v>40</v>
      </c>
      <c r="F59" t="s">
        <v>41</v>
      </c>
      <c r="G59" t="s">
        <v>66</v>
      </c>
      <c r="H59" s="1">
        <v>46178</v>
      </c>
      <c r="I59">
        <v>240</v>
      </c>
      <c r="J59">
        <v>20</v>
      </c>
      <c r="K59" t="s">
        <v>29</v>
      </c>
      <c r="L59">
        <v>4800</v>
      </c>
      <c r="M59" t="str">
        <f t="shared" si="0"/>
        <v>MAT107|PL01|Vendor 2|05-Jun-2026</v>
      </c>
      <c r="N59" t="str">
        <f t="shared" si="1"/>
        <v>MAT107|PL01|05-Jun-2026</v>
      </c>
      <c r="O59" t="str">
        <f t="shared" si="2"/>
        <v>MAT107|Vendor 2|05-Jun-2026</v>
      </c>
      <c r="P59" t="str">
        <f t="shared" si="3"/>
        <v>MAT107|05-Jun-2026</v>
      </c>
      <c r="Q59">
        <f t="shared" si="4"/>
        <v>0</v>
      </c>
      <c r="R59">
        <f t="shared" si="5"/>
        <v>0</v>
      </c>
      <c r="S59">
        <f t="shared" si="6"/>
        <v>1</v>
      </c>
      <c r="T59">
        <f t="shared" si="7"/>
        <v>0</v>
      </c>
      <c r="U59">
        <f t="shared" si="8"/>
        <v>1</v>
      </c>
      <c r="V59" t="str">
        <f t="shared" si="9"/>
        <v>Scenario C</v>
      </c>
    </row>
    <row r="60" spans="1:22" x14ac:dyDescent="0.35">
      <c r="A60" t="s">
        <v>153</v>
      </c>
      <c r="B60" t="s">
        <v>31</v>
      </c>
      <c r="C60" t="s">
        <v>45</v>
      </c>
      <c r="D60" t="s">
        <v>46</v>
      </c>
      <c r="E60" t="s">
        <v>70</v>
      </c>
      <c r="F60" t="s">
        <v>71</v>
      </c>
      <c r="G60" t="s">
        <v>62</v>
      </c>
      <c r="H60" s="1">
        <v>46185</v>
      </c>
      <c r="I60">
        <v>180</v>
      </c>
      <c r="J60">
        <v>147</v>
      </c>
      <c r="K60" t="s">
        <v>29</v>
      </c>
      <c r="L60">
        <v>26460</v>
      </c>
      <c r="M60" t="str">
        <f t="shared" si="0"/>
        <v>MAT104|PL03|Vendor 7|12-Jun-2026</v>
      </c>
      <c r="N60" t="str">
        <f t="shared" si="1"/>
        <v>MAT104|PL03|12-Jun-2026</v>
      </c>
      <c r="O60" t="str">
        <f t="shared" si="2"/>
        <v>MAT104|Vendor 7|12-Jun-2026</v>
      </c>
      <c r="P60" t="str">
        <f t="shared" si="3"/>
        <v>MAT104|12-Jun-2026</v>
      </c>
      <c r="Q60">
        <f t="shared" si="4"/>
        <v>0</v>
      </c>
      <c r="R60">
        <f t="shared" si="5"/>
        <v>0</v>
      </c>
      <c r="S60">
        <f t="shared" si="6"/>
        <v>0</v>
      </c>
      <c r="T60">
        <f t="shared" si="7"/>
        <v>0</v>
      </c>
      <c r="U60">
        <f t="shared" si="8"/>
        <v>0</v>
      </c>
      <c r="V60" t="str">
        <f t="shared" si="9"/>
        <v>No Exception</v>
      </c>
    </row>
    <row r="61" spans="1:22" x14ac:dyDescent="0.35">
      <c r="A61" t="s">
        <v>154</v>
      </c>
      <c r="B61" t="s">
        <v>58</v>
      </c>
      <c r="C61" t="s">
        <v>24</v>
      </c>
      <c r="D61" t="s">
        <v>25</v>
      </c>
      <c r="E61" t="s">
        <v>40</v>
      </c>
      <c r="F61" t="s">
        <v>41</v>
      </c>
      <c r="G61" t="s">
        <v>62</v>
      </c>
      <c r="H61" s="1">
        <v>46180</v>
      </c>
      <c r="I61">
        <v>100</v>
      </c>
      <c r="J61">
        <v>186</v>
      </c>
      <c r="K61" t="s">
        <v>29</v>
      </c>
      <c r="L61">
        <v>18600</v>
      </c>
      <c r="M61" t="str">
        <f t="shared" si="0"/>
        <v>MAT110|PL03|Vendor 2|07-Jun-2026</v>
      </c>
      <c r="N61" t="str">
        <f t="shared" si="1"/>
        <v>MAT110|PL03|07-Jun-2026</v>
      </c>
      <c r="O61" t="str">
        <f t="shared" si="2"/>
        <v>MAT110|Vendor 2|07-Jun-2026</v>
      </c>
      <c r="P61" t="str">
        <f t="shared" si="3"/>
        <v>MAT110|07-Jun-2026</v>
      </c>
      <c r="Q61">
        <f t="shared" si="4"/>
        <v>0</v>
      </c>
      <c r="R61">
        <f t="shared" si="5"/>
        <v>0</v>
      </c>
      <c r="S61">
        <f t="shared" si="6"/>
        <v>0</v>
      </c>
      <c r="T61">
        <f t="shared" si="7"/>
        <v>0</v>
      </c>
      <c r="U61">
        <f t="shared" si="8"/>
        <v>0</v>
      </c>
      <c r="V61" t="str">
        <f t="shared" si="9"/>
        <v>No Exception</v>
      </c>
    </row>
    <row r="62" spans="1:22" x14ac:dyDescent="0.35">
      <c r="A62" t="s">
        <v>155</v>
      </c>
      <c r="B62" t="s">
        <v>23</v>
      </c>
      <c r="C62" t="s">
        <v>76</v>
      </c>
      <c r="D62" t="s">
        <v>77</v>
      </c>
      <c r="E62" t="s">
        <v>47</v>
      </c>
      <c r="F62" t="s">
        <v>48</v>
      </c>
      <c r="G62" t="s">
        <v>66</v>
      </c>
      <c r="H62" s="1">
        <v>46183</v>
      </c>
      <c r="I62">
        <v>140</v>
      </c>
      <c r="J62">
        <v>76</v>
      </c>
      <c r="K62" t="s">
        <v>29</v>
      </c>
      <c r="L62">
        <v>10640</v>
      </c>
      <c r="M62" t="str">
        <f t="shared" si="0"/>
        <v>MAT102|PL01|Vendor 5|10-Jun-2026</v>
      </c>
      <c r="N62" t="str">
        <f t="shared" si="1"/>
        <v>MAT102|PL01|10-Jun-2026</v>
      </c>
      <c r="O62" t="str">
        <f t="shared" si="2"/>
        <v>MAT102|Vendor 5|10-Jun-2026</v>
      </c>
      <c r="P62" t="str">
        <f t="shared" si="3"/>
        <v>MAT102|10-Jun-2026</v>
      </c>
      <c r="Q62">
        <f t="shared" si="4"/>
        <v>0</v>
      </c>
      <c r="R62">
        <f t="shared" si="5"/>
        <v>0</v>
      </c>
      <c r="S62">
        <f t="shared" si="6"/>
        <v>0</v>
      </c>
      <c r="T62">
        <f t="shared" si="7"/>
        <v>1</v>
      </c>
      <c r="U62">
        <f t="shared" si="8"/>
        <v>1</v>
      </c>
      <c r="V62" t="str">
        <f t="shared" si="9"/>
        <v>Scenario D</v>
      </c>
    </row>
    <row r="63" spans="1:22" x14ac:dyDescent="0.35">
      <c r="A63" t="s">
        <v>156</v>
      </c>
      <c r="B63" t="s">
        <v>44</v>
      </c>
      <c r="C63" t="s">
        <v>38</v>
      </c>
      <c r="D63" t="s">
        <v>39</v>
      </c>
      <c r="E63" t="s">
        <v>40</v>
      </c>
      <c r="F63" t="s">
        <v>41</v>
      </c>
      <c r="G63" t="s">
        <v>62</v>
      </c>
      <c r="H63" s="1">
        <v>46182</v>
      </c>
      <c r="I63">
        <v>260</v>
      </c>
      <c r="J63">
        <v>12</v>
      </c>
      <c r="K63" t="s">
        <v>29</v>
      </c>
      <c r="L63">
        <v>3120</v>
      </c>
      <c r="M63" t="str">
        <f t="shared" si="0"/>
        <v>MAT107|PL03|Vendor 2|09-Jun-2026</v>
      </c>
      <c r="N63" t="str">
        <f t="shared" si="1"/>
        <v>MAT107|PL03|09-Jun-2026</v>
      </c>
      <c r="O63" t="str">
        <f t="shared" si="2"/>
        <v>MAT107|Vendor 2|09-Jun-2026</v>
      </c>
      <c r="P63" t="str">
        <f t="shared" si="3"/>
        <v>MAT107|09-Jun-2026</v>
      </c>
      <c r="Q63">
        <f t="shared" si="4"/>
        <v>0</v>
      </c>
      <c r="R63">
        <f t="shared" si="5"/>
        <v>0</v>
      </c>
      <c r="S63">
        <f t="shared" si="6"/>
        <v>0</v>
      </c>
      <c r="T63">
        <f t="shared" si="7"/>
        <v>0</v>
      </c>
      <c r="U63">
        <f t="shared" si="8"/>
        <v>0</v>
      </c>
      <c r="V63" t="str">
        <f t="shared" si="9"/>
        <v>No Exception</v>
      </c>
    </row>
    <row r="64" spans="1:22" x14ac:dyDescent="0.35">
      <c r="A64" t="s">
        <v>157</v>
      </c>
      <c r="B64" t="s">
        <v>58</v>
      </c>
      <c r="C64" t="s">
        <v>91</v>
      </c>
      <c r="D64" t="s">
        <v>92</v>
      </c>
      <c r="E64" t="s">
        <v>47</v>
      </c>
      <c r="F64" t="s">
        <v>48</v>
      </c>
      <c r="G64" t="s">
        <v>36</v>
      </c>
      <c r="H64" s="1">
        <v>46175</v>
      </c>
      <c r="I64">
        <v>160</v>
      </c>
      <c r="J64">
        <v>191</v>
      </c>
      <c r="K64" t="s">
        <v>29</v>
      </c>
      <c r="L64">
        <v>30560</v>
      </c>
      <c r="M64" t="str">
        <f t="shared" si="0"/>
        <v>MAT113|PL02|Vendor 5|02-Jun-2026</v>
      </c>
      <c r="N64" t="str">
        <f t="shared" si="1"/>
        <v>MAT113|PL02|02-Jun-2026</v>
      </c>
      <c r="O64" t="str">
        <f t="shared" si="2"/>
        <v>MAT113|Vendor 5|02-Jun-2026</v>
      </c>
      <c r="P64" t="str">
        <f t="shared" si="3"/>
        <v>MAT113|02-Jun-2026</v>
      </c>
      <c r="Q64">
        <f t="shared" si="4"/>
        <v>0</v>
      </c>
      <c r="R64">
        <f t="shared" si="5"/>
        <v>0</v>
      </c>
      <c r="S64">
        <f t="shared" si="6"/>
        <v>0</v>
      </c>
      <c r="T64">
        <f t="shared" si="7"/>
        <v>0</v>
      </c>
      <c r="U64">
        <f t="shared" si="8"/>
        <v>0</v>
      </c>
      <c r="V64" t="str">
        <f t="shared" si="9"/>
        <v>No Exception</v>
      </c>
    </row>
    <row r="65" spans="1:22" x14ac:dyDescent="0.35">
      <c r="A65" t="s">
        <v>158</v>
      </c>
      <c r="B65" t="s">
        <v>44</v>
      </c>
      <c r="C65" t="s">
        <v>50</v>
      </c>
      <c r="D65" t="s">
        <v>51</v>
      </c>
      <c r="E65" t="s">
        <v>47</v>
      </c>
      <c r="F65" t="s">
        <v>48</v>
      </c>
      <c r="G65" t="s">
        <v>66</v>
      </c>
      <c r="H65" s="1">
        <v>46182</v>
      </c>
      <c r="I65">
        <v>200</v>
      </c>
      <c r="J65">
        <v>89</v>
      </c>
      <c r="K65" t="s">
        <v>29</v>
      </c>
      <c r="L65">
        <v>17800</v>
      </c>
      <c r="M65" t="str">
        <f t="shared" si="0"/>
        <v>MAT105|PL01|Vendor 5|09-Jun-2026</v>
      </c>
      <c r="N65" t="str">
        <f t="shared" si="1"/>
        <v>MAT105|PL01|09-Jun-2026</v>
      </c>
      <c r="O65" t="str">
        <f t="shared" si="2"/>
        <v>MAT105|Vendor 5|09-Jun-2026</v>
      </c>
      <c r="P65" t="str">
        <f t="shared" si="3"/>
        <v>MAT105|09-Jun-2026</v>
      </c>
      <c r="Q65">
        <f t="shared" si="4"/>
        <v>0</v>
      </c>
      <c r="R65">
        <f t="shared" si="5"/>
        <v>0</v>
      </c>
      <c r="S65">
        <f t="shared" si="6"/>
        <v>0</v>
      </c>
      <c r="T65">
        <f t="shared" si="7"/>
        <v>0</v>
      </c>
      <c r="U65">
        <f t="shared" si="8"/>
        <v>0</v>
      </c>
      <c r="V65" t="str">
        <f t="shared" si="9"/>
        <v>No Exception</v>
      </c>
    </row>
    <row r="66" spans="1:22" x14ac:dyDescent="0.35">
      <c r="A66" t="s">
        <v>159</v>
      </c>
      <c r="B66" t="s">
        <v>44</v>
      </c>
      <c r="C66" t="s">
        <v>108</v>
      </c>
      <c r="D66" t="s">
        <v>109</v>
      </c>
      <c r="E66" t="s">
        <v>47</v>
      </c>
      <c r="F66" t="s">
        <v>48</v>
      </c>
      <c r="G66" t="s">
        <v>28</v>
      </c>
      <c r="H66" s="1">
        <v>46179</v>
      </c>
      <c r="I66">
        <v>220</v>
      </c>
      <c r="J66">
        <v>55</v>
      </c>
      <c r="K66" t="s">
        <v>29</v>
      </c>
      <c r="L66">
        <v>12100</v>
      </c>
      <c r="M66" t="str">
        <f t="shared" si="0"/>
        <v>MAT106|PL04|Vendor 5|06-Jun-2026</v>
      </c>
      <c r="N66" t="str">
        <f t="shared" si="1"/>
        <v>MAT106|PL04|06-Jun-2026</v>
      </c>
      <c r="O66" t="str">
        <f t="shared" si="2"/>
        <v>MAT106|Vendor 5|06-Jun-2026</v>
      </c>
      <c r="P66" t="str">
        <f t="shared" si="3"/>
        <v>MAT106|06-Jun-2026</v>
      </c>
      <c r="Q66">
        <f t="shared" si="4"/>
        <v>0</v>
      </c>
      <c r="R66">
        <f t="shared" si="5"/>
        <v>0</v>
      </c>
      <c r="S66">
        <f t="shared" si="6"/>
        <v>0</v>
      </c>
      <c r="T66">
        <f t="shared" si="7"/>
        <v>1</v>
      </c>
      <c r="U66">
        <f t="shared" si="8"/>
        <v>1</v>
      </c>
      <c r="V66" t="str">
        <f t="shared" si="9"/>
        <v>Scenario D</v>
      </c>
    </row>
    <row r="67" spans="1:22" x14ac:dyDescent="0.35">
      <c r="A67" t="s">
        <v>160</v>
      </c>
      <c r="B67" t="s">
        <v>58</v>
      </c>
      <c r="C67" t="s">
        <v>105</v>
      </c>
      <c r="D67" t="s">
        <v>106</v>
      </c>
      <c r="E67" t="s">
        <v>47</v>
      </c>
      <c r="F67" t="s">
        <v>48</v>
      </c>
      <c r="G67" t="s">
        <v>66</v>
      </c>
      <c r="H67" s="1">
        <v>46182</v>
      </c>
      <c r="I67">
        <v>100</v>
      </c>
      <c r="J67">
        <v>197</v>
      </c>
      <c r="K67" t="s">
        <v>29</v>
      </c>
      <c r="L67">
        <v>19700</v>
      </c>
      <c r="M67" t="str">
        <f t="shared" ref="M67:M117" si="10">C67&amp;"|"&amp;G67&amp;"|"&amp;F67&amp;"|"&amp;TEXT(H67,"dd-mmm-yyyy")</f>
        <v>MAT100|PL01|Vendor 5|09-Jun-2026</v>
      </c>
      <c r="N67" t="str">
        <f t="shared" ref="N67:N117" si="11">C67&amp;"|"&amp;G67&amp;"|"&amp;TEXT(H67,"dd-mmm-yyyy")</f>
        <v>MAT100|PL01|09-Jun-2026</v>
      </c>
      <c r="O67" t="str">
        <f t="shared" ref="O67:O117" si="12">C67&amp;"|"&amp;F67&amp;"|"&amp;TEXT(H67,"dd-mmm-yyyy")</f>
        <v>MAT100|Vendor 5|09-Jun-2026</v>
      </c>
      <c r="P67" t="str">
        <f t="shared" ref="P67:P117" si="13">C67&amp;"|"&amp;TEXT(H67,"dd-mmm-yyyy")</f>
        <v>MAT100|09-Jun-2026</v>
      </c>
      <c r="Q67">
        <f t="shared" ref="Q67:Q117" si="14">IF(COUNTIF(M:M,M67)&gt;1,1,0)</f>
        <v>0</v>
      </c>
      <c r="R67">
        <f t="shared" ref="R67:R117" si="15">IF(AND(COUNTIF(N:N,N67)&gt;1,COUNTIF(M:M,M67)=1),1,0)</f>
        <v>1</v>
      </c>
      <c r="S67">
        <f t="shared" ref="S67:S117" si="16">IF(AND(COUNTIF(O:O,O67)&gt;1,COUNTIF(M:M,M67)=1,COUNTIF(N:N,N67)=1),1,0)</f>
        <v>0</v>
      </c>
      <c r="T67">
        <f t="shared" ref="T67:T117" si="17">IF(AND(COUNTIF(P:P,P67)&gt;1,COUNTIF(M:M,M67)=1,COUNTIF(N:N,N67)=1,COUNTIF(O:O,O67)=1),1,0)</f>
        <v>0</v>
      </c>
      <c r="U67">
        <f t="shared" ref="U67:U117" si="18">IF(OR(Q67=1,R67=1,S67=1,T67=1),1,0)</f>
        <v>1</v>
      </c>
      <c r="V67" t="str">
        <f t="shared" ref="V67:V117" si="19">IF(Q67=1,"Scenario A",
IF(R67=1,"Scenario B",
IF(S67=1,"Scenario C",
IF(T67=1,"Scenario D","No Exception"))))</f>
        <v>Scenario B</v>
      </c>
    </row>
    <row r="68" spans="1:22" x14ac:dyDescent="0.35">
      <c r="A68" t="s">
        <v>161</v>
      </c>
      <c r="B68" t="s">
        <v>31</v>
      </c>
      <c r="C68" t="s">
        <v>68</v>
      </c>
      <c r="D68" t="s">
        <v>69</v>
      </c>
      <c r="E68" t="s">
        <v>102</v>
      </c>
      <c r="F68" t="s">
        <v>103</v>
      </c>
      <c r="G68" t="s">
        <v>28</v>
      </c>
      <c r="H68" s="1">
        <v>46184</v>
      </c>
      <c r="I68">
        <v>200</v>
      </c>
      <c r="J68">
        <v>176</v>
      </c>
      <c r="K68" t="s">
        <v>29</v>
      </c>
      <c r="L68">
        <v>35200</v>
      </c>
      <c r="M68" t="str">
        <f t="shared" si="10"/>
        <v>MAT115|PL04|Vendor 4|11-Jun-2026</v>
      </c>
      <c r="N68" t="str">
        <f t="shared" si="11"/>
        <v>MAT115|PL04|11-Jun-2026</v>
      </c>
      <c r="O68" t="str">
        <f t="shared" si="12"/>
        <v>MAT115|Vendor 4|11-Jun-2026</v>
      </c>
      <c r="P68" t="str">
        <f t="shared" si="13"/>
        <v>MAT115|11-Jun-2026</v>
      </c>
      <c r="Q68">
        <f t="shared" si="14"/>
        <v>0</v>
      </c>
      <c r="R68">
        <f t="shared" si="15"/>
        <v>0</v>
      </c>
      <c r="S68">
        <f t="shared" si="16"/>
        <v>0</v>
      </c>
      <c r="T68">
        <f t="shared" si="17"/>
        <v>0</v>
      </c>
      <c r="U68">
        <f t="shared" si="18"/>
        <v>0</v>
      </c>
      <c r="V68" t="str">
        <f t="shared" si="19"/>
        <v>No Exception</v>
      </c>
    </row>
    <row r="69" spans="1:22" x14ac:dyDescent="0.35">
      <c r="A69" t="s">
        <v>162</v>
      </c>
      <c r="B69" t="s">
        <v>58</v>
      </c>
      <c r="C69" t="s">
        <v>68</v>
      </c>
      <c r="D69" t="s">
        <v>69</v>
      </c>
      <c r="E69" t="s">
        <v>113</v>
      </c>
      <c r="F69" t="s">
        <v>114</v>
      </c>
      <c r="G69" t="s">
        <v>28</v>
      </c>
      <c r="H69" s="1">
        <v>46177</v>
      </c>
      <c r="I69">
        <v>210</v>
      </c>
      <c r="J69">
        <v>186</v>
      </c>
      <c r="K69" t="s">
        <v>29</v>
      </c>
      <c r="L69">
        <v>39060</v>
      </c>
      <c r="M69" t="str">
        <f t="shared" si="10"/>
        <v>MAT115|PL04|Vendor 9|04-Jun-2026</v>
      </c>
      <c r="N69" t="str">
        <f t="shared" si="11"/>
        <v>MAT115|PL04|04-Jun-2026</v>
      </c>
      <c r="O69" t="str">
        <f t="shared" si="12"/>
        <v>MAT115|Vendor 9|04-Jun-2026</v>
      </c>
      <c r="P69" t="str">
        <f t="shared" si="13"/>
        <v>MAT115|04-Jun-2026</v>
      </c>
      <c r="Q69">
        <f t="shared" si="14"/>
        <v>0</v>
      </c>
      <c r="R69">
        <f t="shared" si="15"/>
        <v>0</v>
      </c>
      <c r="S69">
        <f t="shared" si="16"/>
        <v>0</v>
      </c>
      <c r="T69">
        <f t="shared" si="17"/>
        <v>0</v>
      </c>
      <c r="U69">
        <f t="shared" si="18"/>
        <v>0</v>
      </c>
      <c r="V69" t="str">
        <f t="shared" si="19"/>
        <v>No Exception</v>
      </c>
    </row>
    <row r="70" spans="1:22" x14ac:dyDescent="0.35">
      <c r="A70" t="s">
        <v>163</v>
      </c>
      <c r="B70" t="s">
        <v>23</v>
      </c>
      <c r="C70" t="s">
        <v>24</v>
      </c>
      <c r="D70" t="s">
        <v>25</v>
      </c>
      <c r="E70" t="s">
        <v>102</v>
      </c>
      <c r="F70" t="s">
        <v>103</v>
      </c>
      <c r="G70" t="s">
        <v>36</v>
      </c>
      <c r="H70" s="1">
        <v>46187</v>
      </c>
      <c r="I70">
        <v>100</v>
      </c>
      <c r="J70">
        <v>98</v>
      </c>
      <c r="K70" t="s">
        <v>29</v>
      </c>
      <c r="L70">
        <v>9800</v>
      </c>
      <c r="M70" t="str">
        <f t="shared" si="10"/>
        <v>MAT110|PL02|Vendor 4|14-Jun-2026</v>
      </c>
      <c r="N70" t="str">
        <f t="shared" si="11"/>
        <v>MAT110|PL02|14-Jun-2026</v>
      </c>
      <c r="O70" t="str">
        <f t="shared" si="12"/>
        <v>MAT110|Vendor 4|14-Jun-2026</v>
      </c>
      <c r="P70" t="str">
        <f t="shared" si="13"/>
        <v>MAT110|14-Jun-2026</v>
      </c>
      <c r="Q70">
        <f t="shared" si="14"/>
        <v>0</v>
      </c>
      <c r="R70">
        <f t="shared" si="15"/>
        <v>0</v>
      </c>
      <c r="S70">
        <f t="shared" si="16"/>
        <v>0</v>
      </c>
      <c r="T70">
        <f t="shared" si="17"/>
        <v>0</v>
      </c>
      <c r="U70">
        <f t="shared" si="18"/>
        <v>0</v>
      </c>
      <c r="V70" t="str">
        <f t="shared" si="19"/>
        <v>No Exception</v>
      </c>
    </row>
    <row r="71" spans="1:22" x14ac:dyDescent="0.35">
      <c r="A71" t="s">
        <v>164</v>
      </c>
      <c r="B71" t="s">
        <v>31</v>
      </c>
      <c r="C71" t="s">
        <v>45</v>
      </c>
      <c r="D71" t="s">
        <v>46</v>
      </c>
      <c r="E71" t="s">
        <v>34</v>
      </c>
      <c r="F71" t="s">
        <v>35</v>
      </c>
      <c r="G71" t="s">
        <v>66</v>
      </c>
      <c r="H71" s="1">
        <v>46176</v>
      </c>
      <c r="I71">
        <v>180</v>
      </c>
      <c r="J71">
        <v>75</v>
      </c>
      <c r="K71" t="s">
        <v>29</v>
      </c>
      <c r="L71">
        <v>13500</v>
      </c>
      <c r="M71" t="str">
        <f t="shared" si="10"/>
        <v>MAT104|PL01|Vendor 1|03-Jun-2026</v>
      </c>
      <c r="N71" t="str">
        <f t="shared" si="11"/>
        <v>MAT104|PL01|03-Jun-2026</v>
      </c>
      <c r="O71" t="str">
        <f t="shared" si="12"/>
        <v>MAT104|Vendor 1|03-Jun-2026</v>
      </c>
      <c r="P71" t="str">
        <f t="shared" si="13"/>
        <v>MAT104|03-Jun-2026</v>
      </c>
      <c r="Q71">
        <f t="shared" si="14"/>
        <v>0</v>
      </c>
      <c r="R71">
        <f t="shared" si="15"/>
        <v>0</v>
      </c>
      <c r="S71">
        <f t="shared" si="16"/>
        <v>0</v>
      </c>
      <c r="T71">
        <f t="shared" si="17"/>
        <v>0</v>
      </c>
      <c r="U71">
        <f t="shared" si="18"/>
        <v>0</v>
      </c>
      <c r="V71" t="str">
        <f t="shared" si="19"/>
        <v>No Exception</v>
      </c>
    </row>
    <row r="72" spans="1:22" x14ac:dyDescent="0.35">
      <c r="A72" t="s">
        <v>165</v>
      </c>
      <c r="B72" t="s">
        <v>58</v>
      </c>
      <c r="C72" t="s">
        <v>53</v>
      </c>
      <c r="D72" t="s">
        <v>54</v>
      </c>
      <c r="E72" t="s">
        <v>40</v>
      </c>
      <c r="F72" t="s">
        <v>41</v>
      </c>
      <c r="G72" t="s">
        <v>28</v>
      </c>
      <c r="H72" s="1">
        <v>46185</v>
      </c>
      <c r="I72">
        <v>130</v>
      </c>
      <c r="J72">
        <v>163</v>
      </c>
      <c r="K72" t="s">
        <v>29</v>
      </c>
      <c r="L72">
        <v>21190</v>
      </c>
      <c r="M72" t="str">
        <f t="shared" si="10"/>
        <v>MAT101|PL04|Vendor 2|12-Jun-2026</v>
      </c>
      <c r="N72" t="str">
        <f t="shared" si="11"/>
        <v>MAT101|PL04|12-Jun-2026</v>
      </c>
      <c r="O72" t="str">
        <f t="shared" si="12"/>
        <v>MAT101|Vendor 2|12-Jun-2026</v>
      </c>
      <c r="P72" t="str">
        <f t="shared" si="13"/>
        <v>MAT101|12-Jun-2026</v>
      </c>
      <c r="Q72">
        <f t="shared" si="14"/>
        <v>0</v>
      </c>
      <c r="R72">
        <f t="shared" si="15"/>
        <v>0</v>
      </c>
      <c r="S72">
        <f t="shared" si="16"/>
        <v>0</v>
      </c>
      <c r="T72">
        <f t="shared" si="17"/>
        <v>1</v>
      </c>
      <c r="U72">
        <f t="shared" si="18"/>
        <v>1</v>
      </c>
      <c r="V72" t="str">
        <f t="shared" si="19"/>
        <v>Scenario D</v>
      </c>
    </row>
    <row r="73" spans="1:22" x14ac:dyDescent="0.35">
      <c r="A73" t="s">
        <v>166</v>
      </c>
      <c r="B73" t="s">
        <v>31</v>
      </c>
      <c r="C73" t="s">
        <v>79</v>
      </c>
      <c r="D73" t="s">
        <v>80</v>
      </c>
      <c r="E73" t="s">
        <v>34</v>
      </c>
      <c r="F73" t="s">
        <v>35</v>
      </c>
      <c r="G73" t="s">
        <v>28</v>
      </c>
      <c r="H73" s="1">
        <v>46174</v>
      </c>
      <c r="I73">
        <v>280</v>
      </c>
      <c r="J73">
        <v>78</v>
      </c>
      <c r="K73" t="s">
        <v>29</v>
      </c>
      <c r="L73">
        <v>21840</v>
      </c>
      <c r="M73" t="str">
        <f t="shared" si="10"/>
        <v>MAT109|PL04|Vendor 1|01-Jun-2026</v>
      </c>
      <c r="N73" t="str">
        <f t="shared" si="11"/>
        <v>MAT109|PL04|01-Jun-2026</v>
      </c>
      <c r="O73" t="str">
        <f t="shared" si="12"/>
        <v>MAT109|Vendor 1|01-Jun-2026</v>
      </c>
      <c r="P73" t="str">
        <f t="shared" si="13"/>
        <v>MAT109|01-Jun-2026</v>
      </c>
      <c r="Q73">
        <f t="shared" si="14"/>
        <v>0</v>
      </c>
      <c r="R73">
        <f t="shared" si="15"/>
        <v>1</v>
      </c>
      <c r="S73">
        <f t="shared" si="16"/>
        <v>0</v>
      </c>
      <c r="T73">
        <f t="shared" si="17"/>
        <v>0</v>
      </c>
      <c r="U73">
        <f t="shared" si="18"/>
        <v>1</v>
      </c>
      <c r="V73" t="str">
        <f t="shared" si="19"/>
        <v>Scenario B</v>
      </c>
    </row>
    <row r="74" spans="1:22" x14ac:dyDescent="0.35">
      <c r="A74" t="s">
        <v>167</v>
      </c>
      <c r="B74" t="s">
        <v>58</v>
      </c>
      <c r="C74" t="s">
        <v>146</v>
      </c>
      <c r="D74" t="s">
        <v>147</v>
      </c>
      <c r="E74" t="s">
        <v>86</v>
      </c>
      <c r="F74" t="s">
        <v>87</v>
      </c>
      <c r="G74" t="s">
        <v>62</v>
      </c>
      <c r="H74" s="1">
        <v>46174</v>
      </c>
      <c r="I74">
        <v>300</v>
      </c>
      <c r="J74">
        <v>92</v>
      </c>
      <c r="K74" t="s">
        <v>29</v>
      </c>
      <c r="L74">
        <v>27600</v>
      </c>
      <c r="M74" t="str">
        <f t="shared" si="10"/>
        <v>MAT108|PL03|Vendor 6|01-Jun-2026</v>
      </c>
      <c r="N74" t="str">
        <f t="shared" si="11"/>
        <v>MAT108|PL03|01-Jun-2026</v>
      </c>
      <c r="O74" t="str">
        <f t="shared" si="12"/>
        <v>MAT108|Vendor 6|01-Jun-2026</v>
      </c>
      <c r="P74" t="str">
        <f t="shared" si="13"/>
        <v>MAT108|01-Jun-2026</v>
      </c>
      <c r="Q74">
        <f t="shared" si="14"/>
        <v>0</v>
      </c>
      <c r="R74">
        <f t="shared" si="15"/>
        <v>0</v>
      </c>
      <c r="S74">
        <f t="shared" si="16"/>
        <v>0</v>
      </c>
      <c r="T74">
        <f t="shared" si="17"/>
        <v>0</v>
      </c>
      <c r="U74">
        <f t="shared" si="18"/>
        <v>0</v>
      </c>
      <c r="V74" t="str">
        <f t="shared" si="19"/>
        <v>No Exception</v>
      </c>
    </row>
    <row r="75" spans="1:22" x14ac:dyDescent="0.35">
      <c r="A75" t="s">
        <v>168</v>
      </c>
      <c r="B75" t="s">
        <v>31</v>
      </c>
      <c r="C75" t="s">
        <v>79</v>
      </c>
      <c r="D75" t="s">
        <v>80</v>
      </c>
      <c r="E75" t="s">
        <v>102</v>
      </c>
      <c r="F75" t="s">
        <v>103</v>
      </c>
      <c r="G75" t="s">
        <v>62</v>
      </c>
      <c r="H75" s="1">
        <v>46175</v>
      </c>
      <c r="I75">
        <v>280</v>
      </c>
      <c r="J75">
        <v>95</v>
      </c>
      <c r="K75" t="s">
        <v>29</v>
      </c>
      <c r="L75">
        <v>26600</v>
      </c>
      <c r="M75" t="str">
        <f t="shared" si="10"/>
        <v>MAT109|PL03|Vendor 4|02-Jun-2026</v>
      </c>
      <c r="N75" t="str">
        <f t="shared" si="11"/>
        <v>MAT109|PL03|02-Jun-2026</v>
      </c>
      <c r="O75" t="str">
        <f t="shared" si="12"/>
        <v>MAT109|Vendor 4|02-Jun-2026</v>
      </c>
      <c r="P75" t="str">
        <f t="shared" si="13"/>
        <v>MAT109|02-Jun-2026</v>
      </c>
      <c r="Q75">
        <f t="shared" si="14"/>
        <v>0</v>
      </c>
      <c r="R75">
        <f t="shared" si="15"/>
        <v>0</v>
      </c>
      <c r="S75">
        <f t="shared" si="16"/>
        <v>0</v>
      </c>
      <c r="T75">
        <f t="shared" si="17"/>
        <v>0</v>
      </c>
      <c r="U75">
        <f t="shared" si="18"/>
        <v>0</v>
      </c>
      <c r="V75" t="str">
        <f t="shared" si="19"/>
        <v>No Exception</v>
      </c>
    </row>
    <row r="76" spans="1:22" x14ac:dyDescent="0.35">
      <c r="A76" t="s">
        <v>169</v>
      </c>
      <c r="B76" t="s">
        <v>23</v>
      </c>
      <c r="C76" t="s">
        <v>68</v>
      </c>
      <c r="D76" t="s">
        <v>69</v>
      </c>
      <c r="E76" t="s">
        <v>47</v>
      </c>
      <c r="F76" t="s">
        <v>48</v>
      </c>
      <c r="G76" t="s">
        <v>36</v>
      </c>
      <c r="H76" s="1">
        <v>46178</v>
      </c>
      <c r="I76">
        <v>200</v>
      </c>
      <c r="J76">
        <v>11</v>
      </c>
      <c r="K76" t="s">
        <v>29</v>
      </c>
      <c r="L76">
        <v>2200</v>
      </c>
      <c r="M76" t="str">
        <f t="shared" si="10"/>
        <v>MAT115|PL02|Vendor 5|05-Jun-2026</v>
      </c>
      <c r="N76" t="str">
        <f t="shared" si="11"/>
        <v>MAT115|PL02|05-Jun-2026</v>
      </c>
      <c r="O76" t="str">
        <f t="shared" si="12"/>
        <v>MAT115|Vendor 5|05-Jun-2026</v>
      </c>
      <c r="P76" t="str">
        <f t="shared" si="13"/>
        <v>MAT115|05-Jun-2026</v>
      </c>
      <c r="Q76">
        <f t="shared" si="14"/>
        <v>0</v>
      </c>
      <c r="R76">
        <f t="shared" si="15"/>
        <v>0</v>
      </c>
      <c r="S76">
        <f t="shared" si="16"/>
        <v>0</v>
      </c>
      <c r="T76">
        <f t="shared" si="17"/>
        <v>1</v>
      </c>
      <c r="U76">
        <f t="shared" si="18"/>
        <v>1</v>
      </c>
      <c r="V76" t="str">
        <f t="shared" si="19"/>
        <v>Scenario D</v>
      </c>
    </row>
    <row r="77" spans="1:22" x14ac:dyDescent="0.35">
      <c r="A77" t="s">
        <v>170</v>
      </c>
      <c r="B77" t="s">
        <v>23</v>
      </c>
      <c r="C77" t="s">
        <v>76</v>
      </c>
      <c r="D77" t="s">
        <v>77</v>
      </c>
      <c r="E77" t="s">
        <v>26</v>
      </c>
      <c r="F77" t="s">
        <v>27</v>
      </c>
      <c r="G77" t="s">
        <v>28</v>
      </c>
      <c r="H77" s="1">
        <v>46178</v>
      </c>
      <c r="I77">
        <v>140</v>
      </c>
      <c r="J77">
        <v>110</v>
      </c>
      <c r="K77" t="s">
        <v>29</v>
      </c>
      <c r="L77">
        <v>15400</v>
      </c>
      <c r="M77" t="str">
        <f t="shared" si="10"/>
        <v>MAT102|PL04|Vendor 3|05-Jun-2026</v>
      </c>
      <c r="N77" t="str">
        <f t="shared" si="11"/>
        <v>MAT102|PL04|05-Jun-2026</v>
      </c>
      <c r="O77" t="str">
        <f t="shared" si="12"/>
        <v>MAT102|Vendor 3|05-Jun-2026</v>
      </c>
      <c r="P77" t="str">
        <f t="shared" si="13"/>
        <v>MAT102|05-Jun-2026</v>
      </c>
      <c r="Q77">
        <f t="shared" si="14"/>
        <v>0</v>
      </c>
      <c r="R77">
        <f t="shared" si="15"/>
        <v>0</v>
      </c>
      <c r="S77">
        <f t="shared" si="16"/>
        <v>0</v>
      </c>
      <c r="T77">
        <f t="shared" si="17"/>
        <v>1</v>
      </c>
      <c r="U77">
        <f t="shared" si="18"/>
        <v>1</v>
      </c>
      <c r="V77" t="str">
        <f t="shared" si="19"/>
        <v>Scenario D</v>
      </c>
    </row>
    <row r="78" spans="1:22" x14ac:dyDescent="0.35">
      <c r="A78" t="s">
        <v>171</v>
      </c>
      <c r="B78" t="s">
        <v>58</v>
      </c>
      <c r="C78" t="s">
        <v>79</v>
      </c>
      <c r="D78" t="s">
        <v>80</v>
      </c>
      <c r="E78" t="s">
        <v>81</v>
      </c>
      <c r="F78" t="s">
        <v>82</v>
      </c>
      <c r="G78" t="s">
        <v>36</v>
      </c>
      <c r="H78" s="1">
        <v>46184</v>
      </c>
      <c r="I78">
        <v>280</v>
      </c>
      <c r="J78">
        <v>145</v>
      </c>
      <c r="K78" t="s">
        <v>29</v>
      </c>
      <c r="L78">
        <v>40600</v>
      </c>
      <c r="M78" t="str">
        <f t="shared" si="10"/>
        <v>MAT109|PL02|Vendor 11|11-Jun-2026</v>
      </c>
      <c r="N78" t="str">
        <f t="shared" si="11"/>
        <v>MAT109|PL02|11-Jun-2026</v>
      </c>
      <c r="O78" t="str">
        <f t="shared" si="12"/>
        <v>MAT109|Vendor 11|11-Jun-2026</v>
      </c>
      <c r="P78" t="str">
        <f t="shared" si="13"/>
        <v>MAT109|11-Jun-2026</v>
      </c>
      <c r="Q78">
        <f t="shared" si="14"/>
        <v>0</v>
      </c>
      <c r="R78">
        <f t="shared" si="15"/>
        <v>0</v>
      </c>
      <c r="S78">
        <f t="shared" si="16"/>
        <v>0</v>
      </c>
      <c r="T78">
        <f t="shared" si="17"/>
        <v>0</v>
      </c>
      <c r="U78">
        <f t="shared" si="18"/>
        <v>0</v>
      </c>
      <c r="V78" t="str">
        <f t="shared" si="19"/>
        <v>No Exception</v>
      </c>
    </row>
    <row r="79" spans="1:22" x14ac:dyDescent="0.35">
      <c r="A79" t="s">
        <v>172</v>
      </c>
      <c r="B79" t="s">
        <v>44</v>
      </c>
      <c r="C79" t="s">
        <v>64</v>
      </c>
      <c r="D79" t="s">
        <v>65</v>
      </c>
      <c r="E79" t="s">
        <v>70</v>
      </c>
      <c r="F79" t="s">
        <v>71</v>
      </c>
      <c r="G79" t="s">
        <v>62</v>
      </c>
      <c r="H79" s="1">
        <v>46185</v>
      </c>
      <c r="I79">
        <v>300</v>
      </c>
      <c r="J79">
        <v>48</v>
      </c>
      <c r="K79" t="s">
        <v>29</v>
      </c>
      <c r="L79">
        <v>14400</v>
      </c>
      <c r="M79" t="str">
        <f t="shared" si="10"/>
        <v>MAT119|PL03|Vendor 7|12-Jun-2026</v>
      </c>
      <c r="N79" t="str">
        <f t="shared" si="11"/>
        <v>MAT119|PL03|12-Jun-2026</v>
      </c>
      <c r="O79" t="str">
        <f t="shared" si="12"/>
        <v>MAT119|Vendor 7|12-Jun-2026</v>
      </c>
      <c r="P79" t="str">
        <f t="shared" si="13"/>
        <v>MAT119|12-Jun-2026</v>
      </c>
      <c r="Q79">
        <f t="shared" si="14"/>
        <v>0</v>
      </c>
      <c r="R79">
        <f t="shared" si="15"/>
        <v>0</v>
      </c>
      <c r="S79">
        <f t="shared" si="16"/>
        <v>0</v>
      </c>
      <c r="T79">
        <f t="shared" si="17"/>
        <v>1</v>
      </c>
      <c r="U79">
        <f t="shared" si="18"/>
        <v>1</v>
      </c>
      <c r="V79" t="str">
        <f t="shared" si="19"/>
        <v>Scenario D</v>
      </c>
    </row>
    <row r="80" spans="1:22" x14ac:dyDescent="0.35">
      <c r="A80" t="s">
        <v>173</v>
      </c>
      <c r="B80" t="s">
        <v>31</v>
      </c>
      <c r="C80" t="s">
        <v>64</v>
      </c>
      <c r="D80" t="s">
        <v>65</v>
      </c>
      <c r="E80" t="s">
        <v>81</v>
      </c>
      <c r="F80" t="s">
        <v>82</v>
      </c>
      <c r="G80" t="s">
        <v>36</v>
      </c>
      <c r="H80" s="1">
        <v>46185</v>
      </c>
      <c r="I80">
        <v>280</v>
      </c>
      <c r="J80">
        <v>193</v>
      </c>
      <c r="K80" t="s">
        <v>29</v>
      </c>
      <c r="L80">
        <v>54040</v>
      </c>
      <c r="M80" t="str">
        <f t="shared" si="10"/>
        <v>MAT119|PL02|Vendor 11|12-Jun-2026</v>
      </c>
      <c r="N80" t="str">
        <f t="shared" si="11"/>
        <v>MAT119|PL02|12-Jun-2026</v>
      </c>
      <c r="O80" t="str">
        <f t="shared" si="12"/>
        <v>MAT119|Vendor 11|12-Jun-2026</v>
      </c>
      <c r="P80" t="str">
        <f t="shared" si="13"/>
        <v>MAT119|12-Jun-2026</v>
      </c>
      <c r="Q80">
        <f t="shared" si="14"/>
        <v>0</v>
      </c>
      <c r="R80">
        <f t="shared" si="15"/>
        <v>0</v>
      </c>
      <c r="S80">
        <f t="shared" si="16"/>
        <v>0</v>
      </c>
      <c r="T80">
        <f t="shared" si="17"/>
        <v>1</v>
      </c>
      <c r="U80">
        <f t="shared" si="18"/>
        <v>1</v>
      </c>
      <c r="V80" t="str">
        <f t="shared" si="19"/>
        <v>Scenario D</v>
      </c>
    </row>
    <row r="81" spans="1:22" x14ac:dyDescent="0.35">
      <c r="A81" t="s">
        <v>174</v>
      </c>
      <c r="B81" t="s">
        <v>58</v>
      </c>
      <c r="C81" t="s">
        <v>96</v>
      </c>
      <c r="D81" t="s">
        <v>97</v>
      </c>
      <c r="E81" t="s">
        <v>26</v>
      </c>
      <c r="F81" t="s">
        <v>27</v>
      </c>
      <c r="G81" t="s">
        <v>66</v>
      </c>
      <c r="H81" s="1">
        <v>46175</v>
      </c>
      <c r="I81">
        <v>260</v>
      </c>
      <c r="J81">
        <v>192</v>
      </c>
      <c r="K81" t="s">
        <v>29</v>
      </c>
      <c r="L81">
        <v>49920</v>
      </c>
      <c r="M81" t="str">
        <f t="shared" si="10"/>
        <v>MAT116|PL01|Vendor 3|02-Jun-2026</v>
      </c>
      <c r="N81" t="str">
        <f t="shared" si="11"/>
        <v>MAT116|PL01|02-Jun-2026</v>
      </c>
      <c r="O81" t="str">
        <f t="shared" si="12"/>
        <v>MAT116|Vendor 3|02-Jun-2026</v>
      </c>
      <c r="P81" t="str">
        <f t="shared" si="13"/>
        <v>MAT116|02-Jun-2026</v>
      </c>
      <c r="Q81">
        <f t="shared" si="14"/>
        <v>0</v>
      </c>
      <c r="R81">
        <f t="shared" si="15"/>
        <v>0</v>
      </c>
      <c r="S81">
        <f t="shared" si="16"/>
        <v>0</v>
      </c>
      <c r="T81">
        <f t="shared" si="17"/>
        <v>0</v>
      </c>
      <c r="U81">
        <f t="shared" si="18"/>
        <v>0</v>
      </c>
      <c r="V81" t="str">
        <f t="shared" si="19"/>
        <v>No Exception</v>
      </c>
    </row>
    <row r="82" spans="1:22" x14ac:dyDescent="0.35">
      <c r="A82" t="s">
        <v>175</v>
      </c>
      <c r="B82" t="s">
        <v>31</v>
      </c>
      <c r="C82" t="s">
        <v>105</v>
      </c>
      <c r="D82" t="s">
        <v>106</v>
      </c>
      <c r="E82" t="s">
        <v>34</v>
      </c>
      <c r="F82" t="s">
        <v>35</v>
      </c>
      <c r="G82" t="s">
        <v>36</v>
      </c>
      <c r="H82" s="1">
        <v>46187</v>
      </c>
      <c r="I82">
        <v>100</v>
      </c>
      <c r="J82">
        <v>36</v>
      </c>
      <c r="K82" t="s">
        <v>29</v>
      </c>
      <c r="L82">
        <v>3600</v>
      </c>
      <c r="M82" t="str">
        <f t="shared" si="10"/>
        <v>MAT100|PL02|Vendor 1|14-Jun-2026</v>
      </c>
      <c r="N82" t="str">
        <f t="shared" si="11"/>
        <v>MAT100|PL02|14-Jun-2026</v>
      </c>
      <c r="O82" t="str">
        <f t="shared" si="12"/>
        <v>MAT100|Vendor 1|14-Jun-2026</v>
      </c>
      <c r="P82" t="str">
        <f t="shared" si="13"/>
        <v>MAT100|14-Jun-2026</v>
      </c>
      <c r="Q82">
        <f t="shared" si="14"/>
        <v>0</v>
      </c>
      <c r="R82">
        <f t="shared" si="15"/>
        <v>0</v>
      </c>
      <c r="S82">
        <f t="shared" si="16"/>
        <v>0</v>
      </c>
      <c r="T82">
        <f t="shared" si="17"/>
        <v>0</v>
      </c>
      <c r="U82">
        <f t="shared" si="18"/>
        <v>0</v>
      </c>
      <c r="V82" t="str">
        <f t="shared" si="19"/>
        <v>No Exception</v>
      </c>
    </row>
    <row r="83" spans="1:22" x14ac:dyDescent="0.35">
      <c r="A83" t="s">
        <v>176</v>
      </c>
      <c r="B83" t="s">
        <v>58</v>
      </c>
      <c r="C83" t="s">
        <v>84</v>
      </c>
      <c r="D83" t="s">
        <v>85</v>
      </c>
      <c r="E83" t="s">
        <v>113</v>
      </c>
      <c r="F83" t="s">
        <v>114</v>
      </c>
      <c r="G83" t="s">
        <v>66</v>
      </c>
      <c r="H83" s="1">
        <v>46181</v>
      </c>
      <c r="I83">
        <v>180</v>
      </c>
      <c r="J83">
        <v>170</v>
      </c>
      <c r="K83" t="s">
        <v>29</v>
      </c>
      <c r="L83">
        <v>30600</v>
      </c>
      <c r="M83" t="str">
        <f t="shared" si="10"/>
        <v>MAT114|PL01|Vendor 9|08-Jun-2026</v>
      </c>
      <c r="N83" t="str">
        <f t="shared" si="11"/>
        <v>MAT114|PL01|08-Jun-2026</v>
      </c>
      <c r="O83" t="str">
        <f t="shared" si="12"/>
        <v>MAT114|Vendor 9|08-Jun-2026</v>
      </c>
      <c r="P83" t="str">
        <f t="shared" si="13"/>
        <v>MAT114|08-Jun-2026</v>
      </c>
      <c r="Q83">
        <f t="shared" si="14"/>
        <v>0</v>
      </c>
      <c r="R83">
        <f t="shared" si="15"/>
        <v>0</v>
      </c>
      <c r="S83">
        <f t="shared" si="16"/>
        <v>0</v>
      </c>
      <c r="T83">
        <f t="shared" si="17"/>
        <v>0</v>
      </c>
      <c r="U83">
        <f t="shared" si="18"/>
        <v>0</v>
      </c>
      <c r="V83" t="str">
        <f t="shared" si="19"/>
        <v>No Exception</v>
      </c>
    </row>
    <row r="84" spans="1:22" x14ac:dyDescent="0.35">
      <c r="A84" t="s">
        <v>177</v>
      </c>
      <c r="B84" t="s">
        <v>23</v>
      </c>
      <c r="C84" t="s">
        <v>146</v>
      </c>
      <c r="D84" t="s">
        <v>147</v>
      </c>
      <c r="E84" t="s">
        <v>34</v>
      </c>
      <c r="F84" t="s">
        <v>35</v>
      </c>
      <c r="G84" t="s">
        <v>28</v>
      </c>
      <c r="H84" s="1">
        <v>46184</v>
      </c>
      <c r="I84">
        <v>300</v>
      </c>
      <c r="J84">
        <v>147</v>
      </c>
      <c r="K84" t="s">
        <v>29</v>
      </c>
      <c r="L84">
        <v>44100</v>
      </c>
      <c r="M84" t="str">
        <f t="shared" si="10"/>
        <v>MAT108|PL04|Vendor 1|11-Jun-2026</v>
      </c>
      <c r="N84" t="str">
        <f t="shared" si="11"/>
        <v>MAT108|PL04|11-Jun-2026</v>
      </c>
      <c r="O84" t="str">
        <f t="shared" si="12"/>
        <v>MAT108|Vendor 1|11-Jun-2026</v>
      </c>
      <c r="P84" t="str">
        <f t="shared" si="13"/>
        <v>MAT108|11-Jun-2026</v>
      </c>
      <c r="Q84">
        <f t="shared" si="14"/>
        <v>0</v>
      </c>
      <c r="R84">
        <f t="shared" si="15"/>
        <v>0</v>
      </c>
      <c r="S84">
        <f t="shared" si="16"/>
        <v>0</v>
      </c>
      <c r="T84">
        <f t="shared" si="17"/>
        <v>0</v>
      </c>
      <c r="U84">
        <f t="shared" si="18"/>
        <v>0</v>
      </c>
      <c r="V84" t="str">
        <f t="shared" si="19"/>
        <v>No Exception</v>
      </c>
    </row>
    <row r="85" spans="1:22" x14ac:dyDescent="0.35">
      <c r="A85" t="s">
        <v>178</v>
      </c>
      <c r="B85" t="s">
        <v>44</v>
      </c>
      <c r="C85" t="s">
        <v>96</v>
      </c>
      <c r="D85" t="s">
        <v>97</v>
      </c>
      <c r="E85" t="s">
        <v>40</v>
      </c>
      <c r="F85" t="s">
        <v>41</v>
      </c>
      <c r="G85" t="s">
        <v>28</v>
      </c>
      <c r="H85" s="1">
        <v>46177</v>
      </c>
      <c r="I85">
        <v>220</v>
      </c>
      <c r="J85">
        <v>29</v>
      </c>
      <c r="K85" t="s">
        <v>29</v>
      </c>
      <c r="L85">
        <v>6380</v>
      </c>
      <c r="M85" t="str">
        <f t="shared" si="10"/>
        <v>MAT116|PL04|Vendor 2|04-Jun-2026</v>
      </c>
      <c r="N85" t="str">
        <f t="shared" si="11"/>
        <v>MAT116|PL04|04-Jun-2026</v>
      </c>
      <c r="O85" t="str">
        <f t="shared" si="12"/>
        <v>MAT116|Vendor 2|04-Jun-2026</v>
      </c>
      <c r="P85" t="str">
        <f t="shared" si="13"/>
        <v>MAT116|04-Jun-2026</v>
      </c>
      <c r="Q85">
        <f t="shared" si="14"/>
        <v>0</v>
      </c>
      <c r="R85">
        <f t="shared" si="15"/>
        <v>0</v>
      </c>
      <c r="S85">
        <f t="shared" si="16"/>
        <v>0</v>
      </c>
      <c r="T85">
        <f t="shared" si="17"/>
        <v>0</v>
      </c>
      <c r="U85">
        <f t="shared" si="18"/>
        <v>0</v>
      </c>
      <c r="V85" t="str">
        <f t="shared" si="19"/>
        <v>No Exception</v>
      </c>
    </row>
    <row r="86" spans="1:22" x14ac:dyDescent="0.35">
      <c r="A86" t="s">
        <v>179</v>
      </c>
      <c r="B86" t="s">
        <v>23</v>
      </c>
      <c r="C86" t="s">
        <v>108</v>
      </c>
      <c r="D86" t="s">
        <v>109</v>
      </c>
      <c r="E86" t="s">
        <v>102</v>
      </c>
      <c r="F86" t="s">
        <v>103</v>
      </c>
      <c r="G86" t="s">
        <v>28</v>
      </c>
      <c r="H86" s="1">
        <v>46181</v>
      </c>
      <c r="I86">
        <v>220</v>
      </c>
      <c r="J86">
        <v>107</v>
      </c>
      <c r="K86" t="s">
        <v>29</v>
      </c>
      <c r="L86">
        <v>23540</v>
      </c>
      <c r="M86" t="str">
        <f t="shared" si="10"/>
        <v>MAT106|PL04|Vendor 4|08-Jun-2026</v>
      </c>
      <c r="N86" t="str">
        <f t="shared" si="11"/>
        <v>MAT106|PL04|08-Jun-2026</v>
      </c>
      <c r="O86" t="str">
        <f t="shared" si="12"/>
        <v>MAT106|Vendor 4|08-Jun-2026</v>
      </c>
      <c r="P86" t="str">
        <f t="shared" si="13"/>
        <v>MAT106|08-Jun-2026</v>
      </c>
      <c r="Q86">
        <f t="shared" si="14"/>
        <v>0</v>
      </c>
      <c r="R86">
        <f t="shared" si="15"/>
        <v>0</v>
      </c>
      <c r="S86">
        <f t="shared" si="16"/>
        <v>0</v>
      </c>
      <c r="T86">
        <f t="shared" si="17"/>
        <v>0</v>
      </c>
      <c r="U86">
        <f t="shared" si="18"/>
        <v>0</v>
      </c>
      <c r="V86" t="str">
        <f t="shared" si="19"/>
        <v>No Exception</v>
      </c>
    </row>
    <row r="87" spans="1:22" x14ac:dyDescent="0.35">
      <c r="A87" t="s">
        <v>180</v>
      </c>
      <c r="B87" t="s">
        <v>44</v>
      </c>
      <c r="C87" t="s">
        <v>79</v>
      </c>
      <c r="D87" t="s">
        <v>80</v>
      </c>
      <c r="E87" t="s">
        <v>34</v>
      </c>
      <c r="F87" t="s">
        <v>35</v>
      </c>
      <c r="G87" t="s">
        <v>36</v>
      </c>
      <c r="H87" s="1">
        <v>46178</v>
      </c>
      <c r="I87">
        <v>280</v>
      </c>
      <c r="J87">
        <v>47</v>
      </c>
      <c r="K87" t="s">
        <v>29</v>
      </c>
      <c r="L87">
        <v>13160</v>
      </c>
      <c r="M87" t="str">
        <f t="shared" si="10"/>
        <v>MAT109|PL02|Vendor 1|05-Jun-2026</v>
      </c>
      <c r="N87" t="str">
        <f t="shared" si="11"/>
        <v>MAT109|PL02|05-Jun-2026</v>
      </c>
      <c r="O87" t="str">
        <f t="shared" si="12"/>
        <v>MAT109|Vendor 1|05-Jun-2026</v>
      </c>
      <c r="P87" t="str">
        <f t="shared" si="13"/>
        <v>MAT109|05-Jun-2026</v>
      </c>
      <c r="Q87">
        <f t="shared" si="14"/>
        <v>0</v>
      </c>
      <c r="R87">
        <f t="shared" si="15"/>
        <v>1</v>
      </c>
      <c r="S87">
        <f t="shared" si="16"/>
        <v>0</v>
      </c>
      <c r="T87">
        <f t="shared" si="17"/>
        <v>0</v>
      </c>
      <c r="U87">
        <f t="shared" si="18"/>
        <v>1</v>
      </c>
      <c r="V87" t="str">
        <f t="shared" si="19"/>
        <v>Scenario B</v>
      </c>
    </row>
    <row r="88" spans="1:22" x14ac:dyDescent="0.35">
      <c r="A88" t="s">
        <v>181</v>
      </c>
      <c r="B88" t="s">
        <v>31</v>
      </c>
      <c r="C88" t="s">
        <v>79</v>
      </c>
      <c r="D88" t="s">
        <v>80</v>
      </c>
      <c r="E88" t="s">
        <v>55</v>
      </c>
      <c r="F88" t="s">
        <v>56</v>
      </c>
      <c r="G88" t="s">
        <v>36</v>
      </c>
      <c r="H88" s="1">
        <v>46178</v>
      </c>
      <c r="I88">
        <v>280</v>
      </c>
      <c r="J88">
        <v>25</v>
      </c>
      <c r="K88" t="s">
        <v>29</v>
      </c>
      <c r="L88">
        <v>7000</v>
      </c>
      <c r="M88" t="str">
        <f t="shared" si="10"/>
        <v>MAT109|PL02|Vendor 10|05-Jun-2026</v>
      </c>
      <c r="N88" t="str">
        <f t="shared" si="11"/>
        <v>MAT109|PL02|05-Jun-2026</v>
      </c>
      <c r="O88" t="str">
        <f t="shared" si="12"/>
        <v>MAT109|Vendor 10|05-Jun-2026</v>
      </c>
      <c r="P88" t="str">
        <f t="shared" si="13"/>
        <v>MAT109|05-Jun-2026</v>
      </c>
      <c r="Q88">
        <f t="shared" si="14"/>
        <v>0</v>
      </c>
      <c r="R88">
        <f t="shared" si="15"/>
        <v>1</v>
      </c>
      <c r="S88">
        <f t="shared" si="16"/>
        <v>0</v>
      </c>
      <c r="T88">
        <f t="shared" si="17"/>
        <v>0</v>
      </c>
      <c r="U88">
        <f t="shared" si="18"/>
        <v>1</v>
      </c>
      <c r="V88" t="str">
        <f t="shared" si="19"/>
        <v>Scenario B</v>
      </c>
    </row>
    <row r="89" spans="1:22" x14ac:dyDescent="0.35">
      <c r="A89" t="s">
        <v>182</v>
      </c>
      <c r="B89" t="s">
        <v>44</v>
      </c>
      <c r="C89" t="s">
        <v>138</v>
      </c>
      <c r="D89" t="s">
        <v>139</v>
      </c>
      <c r="E89" t="s">
        <v>122</v>
      </c>
      <c r="F89" t="s">
        <v>123</v>
      </c>
      <c r="G89" t="s">
        <v>36</v>
      </c>
      <c r="H89" s="1">
        <v>46181</v>
      </c>
      <c r="I89">
        <v>160</v>
      </c>
      <c r="J89">
        <v>84</v>
      </c>
      <c r="K89" t="s">
        <v>29</v>
      </c>
      <c r="L89">
        <v>13440</v>
      </c>
      <c r="M89" t="str">
        <f t="shared" si="10"/>
        <v>MAT103|PL02|Vendor 12|08-Jun-2026</v>
      </c>
      <c r="N89" t="str">
        <f t="shared" si="11"/>
        <v>MAT103|PL02|08-Jun-2026</v>
      </c>
      <c r="O89" t="str">
        <f t="shared" si="12"/>
        <v>MAT103|Vendor 12|08-Jun-2026</v>
      </c>
      <c r="P89" t="str">
        <f t="shared" si="13"/>
        <v>MAT103|08-Jun-2026</v>
      </c>
      <c r="Q89">
        <f t="shared" si="14"/>
        <v>0</v>
      </c>
      <c r="R89">
        <f t="shared" si="15"/>
        <v>0</v>
      </c>
      <c r="S89">
        <f t="shared" si="16"/>
        <v>0</v>
      </c>
      <c r="T89">
        <f t="shared" si="17"/>
        <v>0</v>
      </c>
      <c r="U89">
        <f t="shared" si="18"/>
        <v>0</v>
      </c>
      <c r="V89" t="str">
        <f t="shared" si="19"/>
        <v>No Exception</v>
      </c>
    </row>
    <row r="90" spans="1:22" x14ac:dyDescent="0.35">
      <c r="A90" t="s">
        <v>183</v>
      </c>
      <c r="B90" t="s">
        <v>44</v>
      </c>
      <c r="C90" t="s">
        <v>84</v>
      </c>
      <c r="D90" t="s">
        <v>85</v>
      </c>
      <c r="E90" t="s">
        <v>59</v>
      </c>
      <c r="F90" t="s">
        <v>60</v>
      </c>
      <c r="G90" t="s">
        <v>66</v>
      </c>
      <c r="H90" s="1">
        <v>46175</v>
      </c>
      <c r="I90">
        <v>220</v>
      </c>
      <c r="J90">
        <v>61</v>
      </c>
      <c r="K90" t="s">
        <v>29</v>
      </c>
      <c r="L90">
        <v>13420</v>
      </c>
      <c r="M90" t="str">
        <f t="shared" si="10"/>
        <v>MAT114|PL01|Vendor 8|02-Jun-2026</v>
      </c>
      <c r="N90" t="str">
        <f t="shared" si="11"/>
        <v>MAT114|PL01|02-Jun-2026</v>
      </c>
      <c r="O90" t="str">
        <f t="shared" si="12"/>
        <v>MAT114|Vendor 8|02-Jun-2026</v>
      </c>
      <c r="P90" t="str">
        <f t="shared" si="13"/>
        <v>MAT114|02-Jun-2026</v>
      </c>
      <c r="Q90">
        <f t="shared" si="14"/>
        <v>0</v>
      </c>
      <c r="R90">
        <f t="shared" si="15"/>
        <v>0</v>
      </c>
      <c r="S90">
        <f t="shared" si="16"/>
        <v>0</v>
      </c>
      <c r="T90">
        <f t="shared" si="17"/>
        <v>0</v>
      </c>
      <c r="U90">
        <f t="shared" si="18"/>
        <v>0</v>
      </c>
      <c r="V90" t="str">
        <f t="shared" si="19"/>
        <v>No Exception</v>
      </c>
    </row>
    <row r="91" spans="1:22" x14ac:dyDescent="0.35">
      <c r="A91" t="s">
        <v>184</v>
      </c>
      <c r="B91" t="s">
        <v>31</v>
      </c>
      <c r="C91" t="s">
        <v>68</v>
      </c>
      <c r="D91" t="s">
        <v>69</v>
      </c>
      <c r="E91" t="s">
        <v>34</v>
      </c>
      <c r="F91" t="s">
        <v>35</v>
      </c>
      <c r="G91" t="s">
        <v>62</v>
      </c>
      <c r="H91" s="1">
        <v>46178</v>
      </c>
      <c r="I91">
        <v>200</v>
      </c>
      <c r="J91">
        <v>139</v>
      </c>
      <c r="K91" t="s">
        <v>29</v>
      </c>
      <c r="L91">
        <v>27800</v>
      </c>
      <c r="M91" t="str">
        <f t="shared" si="10"/>
        <v>MAT115|PL03|Vendor 1|05-Jun-2026</v>
      </c>
      <c r="N91" t="str">
        <f t="shared" si="11"/>
        <v>MAT115|PL03|05-Jun-2026</v>
      </c>
      <c r="O91" t="str">
        <f t="shared" si="12"/>
        <v>MAT115|Vendor 1|05-Jun-2026</v>
      </c>
      <c r="P91" t="str">
        <f t="shared" si="13"/>
        <v>MAT115|05-Jun-2026</v>
      </c>
      <c r="Q91">
        <f t="shared" si="14"/>
        <v>0</v>
      </c>
      <c r="R91">
        <f t="shared" si="15"/>
        <v>0</v>
      </c>
      <c r="S91">
        <f t="shared" si="16"/>
        <v>0</v>
      </c>
      <c r="T91">
        <f t="shared" si="17"/>
        <v>1</v>
      </c>
      <c r="U91">
        <f t="shared" si="18"/>
        <v>1</v>
      </c>
      <c r="V91" t="str">
        <f t="shared" si="19"/>
        <v>Scenario D</v>
      </c>
    </row>
    <row r="92" spans="1:22" x14ac:dyDescent="0.35">
      <c r="A92" t="s">
        <v>185</v>
      </c>
      <c r="B92" t="s">
        <v>58</v>
      </c>
      <c r="C92" t="s">
        <v>99</v>
      </c>
      <c r="D92" t="s">
        <v>100</v>
      </c>
      <c r="E92" t="s">
        <v>102</v>
      </c>
      <c r="F92" t="s">
        <v>103</v>
      </c>
      <c r="G92" t="s">
        <v>36</v>
      </c>
      <c r="H92" s="1">
        <v>46185</v>
      </c>
      <c r="I92">
        <v>140</v>
      </c>
      <c r="J92">
        <v>33</v>
      </c>
      <c r="K92" t="s">
        <v>29</v>
      </c>
      <c r="L92">
        <v>4620</v>
      </c>
      <c r="M92" t="str">
        <f t="shared" si="10"/>
        <v>MAT112|PL02|Vendor 4|12-Jun-2026</v>
      </c>
      <c r="N92" t="str">
        <f t="shared" si="11"/>
        <v>MAT112|PL02|12-Jun-2026</v>
      </c>
      <c r="O92" t="str">
        <f t="shared" si="12"/>
        <v>MAT112|Vendor 4|12-Jun-2026</v>
      </c>
      <c r="P92" t="str">
        <f t="shared" si="13"/>
        <v>MAT112|12-Jun-2026</v>
      </c>
      <c r="Q92">
        <f t="shared" si="14"/>
        <v>0</v>
      </c>
      <c r="R92">
        <f t="shared" si="15"/>
        <v>0</v>
      </c>
      <c r="S92">
        <f t="shared" si="16"/>
        <v>0</v>
      </c>
      <c r="T92">
        <f t="shared" si="17"/>
        <v>0</v>
      </c>
      <c r="U92">
        <f t="shared" si="18"/>
        <v>0</v>
      </c>
      <c r="V92" t="str">
        <f t="shared" si="19"/>
        <v>No Exception</v>
      </c>
    </row>
    <row r="93" spans="1:22" x14ac:dyDescent="0.35">
      <c r="A93" t="s">
        <v>186</v>
      </c>
      <c r="B93" t="s">
        <v>44</v>
      </c>
      <c r="C93" t="s">
        <v>96</v>
      </c>
      <c r="D93" t="s">
        <v>97</v>
      </c>
      <c r="E93" t="s">
        <v>47</v>
      </c>
      <c r="F93" t="s">
        <v>48</v>
      </c>
      <c r="G93" t="s">
        <v>62</v>
      </c>
      <c r="H93" s="1">
        <v>46188</v>
      </c>
      <c r="I93">
        <v>220</v>
      </c>
      <c r="J93">
        <v>171</v>
      </c>
      <c r="K93" t="s">
        <v>29</v>
      </c>
      <c r="L93">
        <v>37620</v>
      </c>
      <c r="M93" t="str">
        <f t="shared" si="10"/>
        <v>MAT116|PL03|Vendor 5|15-Jun-2026</v>
      </c>
      <c r="N93" t="str">
        <f t="shared" si="11"/>
        <v>MAT116|PL03|15-Jun-2026</v>
      </c>
      <c r="O93" t="str">
        <f t="shared" si="12"/>
        <v>MAT116|Vendor 5|15-Jun-2026</v>
      </c>
      <c r="P93" t="str">
        <f t="shared" si="13"/>
        <v>MAT116|15-Jun-2026</v>
      </c>
      <c r="Q93">
        <f t="shared" si="14"/>
        <v>0</v>
      </c>
      <c r="R93">
        <f t="shared" si="15"/>
        <v>1</v>
      </c>
      <c r="S93">
        <f t="shared" si="16"/>
        <v>0</v>
      </c>
      <c r="T93">
        <f t="shared" si="17"/>
        <v>0</v>
      </c>
      <c r="U93">
        <f t="shared" si="18"/>
        <v>1</v>
      </c>
      <c r="V93" t="str">
        <f t="shared" si="19"/>
        <v>Scenario B</v>
      </c>
    </row>
    <row r="94" spans="1:22" x14ac:dyDescent="0.35">
      <c r="A94" t="s">
        <v>187</v>
      </c>
      <c r="B94" t="s">
        <v>31</v>
      </c>
      <c r="C94" t="s">
        <v>138</v>
      </c>
      <c r="D94" t="s">
        <v>139</v>
      </c>
      <c r="E94" t="s">
        <v>122</v>
      </c>
      <c r="F94" t="s">
        <v>123</v>
      </c>
      <c r="G94" t="s">
        <v>62</v>
      </c>
      <c r="H94" s="1">
        <v>46174</v>
      </c>
      <c r="I94">
        <v>160</v>
      </c>
      <c r="J94">
        <v>134</v>
      </c>
      <c r="K94" t="s">
        <v>29</v>
      </c>
      <c r="L94">
        <v>21440</v>
      </c>
      <c r="M94" t="str">
        <f t="shared" si="10"/>
        <v>MAT103|PL03|Vendor 12|01-Jun-2026</v>
      </c>
      <c r="N94" t="str">
        <f t="shared" si="11"/>
        <v>MAT103|PL03|01-Jun-2026</v>
      </c>
      <c r="O94" t="str">
        <f t="shared" si="12"/>
        <v>MAT103|Vendor 12|01-Jun-2026</v>
      </c>
      <c r="P94" t="str">
        <f t="shared" si="13"/>
        <v>MAT103|01-Jun-2026</v>
      </c>
      <c r="Q94">
        <f t="shared" si="14"/>
        <v>0</v>
      </c>
      <c r="R94">
        <f t="shared" si="15"/>
        <v>0</v>
      </c>
      <c r="S94">
        <f t="shared" si="16"/>
        <v>0</v>
      </c>
      <c r="T94">
        <f t="shared" si="17"/>
        <v>0</v>
      </c>
      <c r="U94">
        <f t="shared" si="18"/>
        <v>0</v>
      </c>
      <c r="V94" t="str">
        <f t="shared" si="19"/>
        <v>No Exception</v>
      </c>
    </row>
    <row r="95" spans="1:22" x14ac:dyDescent="0.35">
      <c r="A95" t="s">
        <v>188</v>
      </c>
      <c r="B95" t="s">
        <v>44</v>
      </c>
      <c r="C95" t="s">
        <v>50</v>
      </c>
      <c r="D95" t="s">
        <v>51</v>
      </c>
      <c r="E95" t="s">
        <v>34</v>
      </c>
      <c r="F95" t="s">
        <v>35</v>
      </c>
      <c r="G95" t="s">
        <v>28</v>
      </c>
      <c r="H95" s="1">
        <v>46185</v>
      </c>
      <c r="I95">
        <v>200</v>
      </c>
      <c r="J95">
        <v>113</v>
      </c>
      <c r="K95" t="s">
        <v>29</v>
      </c>
      <c r="L95">
        <v>22600</v>
      </c>
      <c r="M95" t="str">
        <f t="shared" si="10"/>
        <v>MAT105|PL04|Vendor 1|12-Jun-2026</v>
      </c>
      <c r="N95" t="str">
        <f t="shared" si="11"/>
        <v>MAT105|PL04|12-Jun-2026</v>
      </c>
      <c r="O95" t="str">
        <f t="shared" si="12"/>
        <v>MAT105|Vendor 1|12-Jun-2026</v>
      </c>
      <c r="P95" t="str">
        <f t="shared" si="13"/>
        <v>MAT105|12-Jun-2026</v>
      </c>
      <c r="Q95">
        <f t="shared" si="14"/>
        <v>0</v>
      </c>
      <c r="R95">
        <f t="shared" si="15"/>
        <v>0</v>
      </c>
      <c r="S95">
        <f t="shared" si="16"/>
        <v>0</v>
      </c>
      <c r="T95">
        <f t="shared" si="17"/>
        <v>0</v>
      </c>
      <c r="U95">
        <f t="shared" si="18"/>
        <v>0</v>
      </c>
      <c r="V95" t="str">
        <f t="shared" si="19"/>
        <v>No Exception</v>
      </c>
    </row>
    <row r="96" spans="1:22" x14ac:dyDescent="0.35">
      <c r="A96" t="s">
        <v>189</v>
      </c>
      <c r="B96" t="s">
        <v>44</v>
      </c>
      <c r="C96" t="s">
        <v>45</v>
      </c>
      <c r="D96" t="s">
        <v>46</v>
      </c>
      <c r="E96" t="s">
        <v>70</v>
      </c>
      <c r="F96" t="s">
        <v>71</v>
      </c>
      <c r="G96" t="s">
        <v>62</v>
      </c>
      <c r="H96" s="1">
        <v>46174</v>
      </c>
      <c r="I96">
        <v>180</v>
      </c>
      <c r="J96">
        <v>40</v>
      </c>
      <c r="K96" t="s">
        <v>29</v>
      </c>
      <c r="L96">
        <v>7200</v>
      </c>
      <c r="M96" t="str">
        <f t="shared" si="10"/>
        <v>MAT104|PL03|Vendor 7|01-Jun-2026</v>
      </c>
      <c r="N96" t="str">
        <f t="shared" si="11"/>
        <v>MAT104|PL03|01-Jun-2026</v>
      </c>
      <c r="O96" t="str">
        <f t="shared" si="12"/>
        <v>MAT104|Vendor 7|01-Jun-2026</v>
      </c>
      <c r="P96" t="str">
        <f t="shared" si="13"/>
        <v>MAT104|01-Jun-2026</v>
      </c>
      <c r="Q96">
        <f t="shared" si="14"/>
        <v>0</v>
      </c>
      <c r="R96">
        <f t="shared" si="15"/>
        <v>0</v>
      </c>
      <c r="S96">
        <f t="shared" si="16"/>
        <v>0</v>
      </c>
      <c r="T96">
        <f t="shared" si="17"/>
        <v>0</v>
      </c>
      <c r="U96">
        <f t="shared" si="18"/>
        <v>0</v>
      </c>
      <c r="V96" t="str">
        <f t="shared" si="19"/>
        <v>No Exception</v>
      </c>
    </row>
    <row r="97" spans="1:22" x14ac:dyDescent="0.35">
      <c r="A97" t="s">
        <v>190</v>
      </c>
      <c r="B97" t="s">
        <v>23</v>
      </c>
      <c r="C97" t="s">
        <v>24</v>
      </c>
      <c r="D97" t="s">
        <v>25</v>
      </c>
      <c r="E97" t="s">
        <v>86</v>
      </c>
      <c r="F97" t="s">
        <v>87</v>
      </c>
      <c r="G97" t="s">
        <v>28</v>
      </c>
      <c r="H97" s="1">
        <v>46188</v>
      </c>
      <c r="I97">
        <v>100</v>
      </c>
      <c r="J97">
        <v>60</v>
      </c>
      <c r="K97" t="s">
        <v>29</v>
      </c>
      <c r="L97">
        <v>6000</v>
      </c>
      <c r="M97" t="str">
        <f t="shared" si="10"/>
        <v>MAT110|PL04|Vendor 6|15-Jun-2026</v>
      </c>
      <c r="N97" t="str">
        <f t="shared" si="11"/>
        <v>MAT110|PL04|15-Jun-2026</v>
      </c>
      <c r="O97" t="str">
        <f t="shared" si="12"/>
        <v>MAT110|Vendor 6|15-Jun-2026</v>
      </c>
      <c r="P97" t="str">
        <f t="shared" si="13"/>
        <v>MAT110|15-Jun-2026</v>
      </c>
      <c r="Q97">
        <f t="shared" si="14"/>
        <v>0</v>
      </c>
      <c r="R97">
        <f t="shared" si="15"/>
        <v>0</v>
      </c>
      <c r="S97">
        <f t="shared" si="16"/>
        <v>0</v>
      </c>
      <c r="T97">
        <f t="shared" si="17"/>
        <v>0</v>
      </c>
      <c r="U97">
        <f t="shared" si="18"/>
        <v>0</v>
      </c>
      <c r="V97" t="str">
        <f t="shared" si="19"/>
        <v>No Exception</v>
      </c>
    </row>
    <row r="98" spans="1:22" x14ac:dyDescent="0.35">
      <c r="A98" t="s">
        <v>191</v>
      </c>
      <c r="B98" t="s">
        <v>23</v>
      </c>
      <c r="C98" t="s">
        <v>79</v>
      </c>
      <c r="D98" t="s">
        <v>80</v>
      </c>
      <c r="E98" t="s">
        <v>47</v>
      </c>
      <c r="F98" t="s">
        <v>48</v>
      </c>
      <c r="G98" t="s">
        <v>62</v>
      </c>
      <c r="H98" s="1">
        <v>46179</v>
      </c>
      <c r="I98">
        <v>280</v>
      </c>
      <c r="J98">
        <v>109</v>
      </c>
      <c r="K98" t="s">
        <v>29</v>
      </c>
      <c r="L98">
        <v>30520</v>
      </c>
      <c r="M98" t="str">
        <f t="shared" si="10"/>
        <v>MAT109|PL03|Vendor 5|06-Jun-2026</v>
      </c>
      <c r="N98" t="str">
        <f t="shared" si="11"/>
        <v>MAT109|PL03|06-Jun-2026</v>
      </c>
      <c r="O98" t="str">
        <f t="shared" si="12"/>
        <v>MAT109|Vendor 5|06-Jun-2026</v>
      </c>
      <c r="P98" t="str">
        <f t="shared" si="13"/>
        <v>MAT109|06-Jun-2026</v>
      </c>
      <c r="Q98">
        <f t="shared" si="14"/>
        <v>0</v>
      </c>
      <c r="R98">
        <f t="shared" si="15"/>
        <v>0</v>
      </c>
      <c r="S98">
        <f t="shared" si="16"/>
        <v>0</v>
      </c>
      <c r="T98">
        <f t="shared" si="17"/>
        <v>0</v>
      </c>
      <c r="U98">
        <f t="shared" si="18"/>
        <v>0</v>
      </c>
      <c r="V98" t="str">
        <f t="shared" si="19"/>
        <v>No Exception</v>
      </c>
    </row>
    <row r="99" spans="1:22" x14ac:dyDescent="0.35">
      <c r="A99" t="s">
        <v>192</v>
      </c>
      <c r="B99" t="s">
        <v>44</v>
      </c>
      <c r="C99" t="s">
        <v>91</v>
      </c>
      <c r="D99" t="s">
        <v>92</v>
      </c>
      <c r="E99" t="s">
        <v>47</v>
      </c>
      <c r="F99" t="s">
        <v>48</v>
      </c>
      <c r="G99" t="s">
        <v>66</v>
      </c>
      <c r="H99" s="1">
        <v>46184</v>
      </c>
      <c r="I99">
        <v>160</v>
      </c>
      <c r="J99">
        <v>23</v>
      </c>
      <c r="K99" t="s">
        <v>29</v>
      </c>
      <c r="L99">
        <v>3680</v>
      </c>
      <c r="M99" t="str">
        <f t="shared" si="10"/>
        <v>MAT113|PL01|Vendor 5|11-Jun-2026</v>
      </c>
      <c r="N99" t="str">
        <f t="shared" si="11"/>
        <v>MAT113|PL01|11-Jun-2026</v>
      </c>
      <c r="O99" t="str">
        <f t="shared" si="12"/>
        <v>MAT113|Vendor 5|11-Jun-2026</v>
      </c>
      <c r="P99" t="str">
        <f t="shared" si="13"/>
        <v>MAT113|11-Jun-2026</v>
      </c>
      <c r="Q99">
        <f t="shared" si="14"/>
        <v>0</v>
      </c>
      <c r="R99">
        <f t="shared" si="15"/>
        <v>0</v>
      </c>
      <c r="S99">
        <f t="shared" si="16"/>
        <v>0</v>
      </c>
      <c r="T99">
        <f t="shared" si="17"/>
        <v>0</v>
      </c>
      <c r="U99">
        <f t="shared" si="18"/>
        <v>0</v>
      </c>
      <c r="V99" t="str">
        <f t="shared" si="19"/>
        <v>No Exception</v>
      </c>
    </row>
    <row r="100" spans="1:22" x14ac:dyDescent="0.35">
      <c r="A100" t="s">
        <v>193</v>
      </c>
      <c r="B100" t="s">
        <v>58</v>
      </c>
      <c r="C100" t="s">
        <v>45</v>
      </c>
      <c r="D100" t="s">
        <v>46</v>
      </c>
      <c r="E100" t="s">
        <v>102</v>
      </c>
      <c r="F100" t="s">
        <v>103</v>
      </c>
      <c r="G100" t="s">
        <v>62</v>
      </c>
      <c r="H100" s="1">
        <v>46186</v>
      </c>
      <c r="I100">
        <v>180</v>
      </c>
      <c r="J100">
        <v>90</v>
      </c>
      <c r="K100" t="s">
        <v>29</v>
      </c>
      <c r="L100">
        <v>16200</v>
      </c>
      <c r="M100" t="str">
        <f t="shared" si="10"/>
        <v>MAT104|PL03|Vendor 4|13-Jun-2026</v>
      </c>
      <c r="N100" t="str">
        <f t="shared" si="11"/>
        <v>MAT104|PL03|13-Jun-2026</v>
      </c>
      <c r="O100" t="str">
        <f t="shared" si="12"/>
        <v>MAT104|Vendor 4|13-Jun-2026</v>
      </c>
      <c r="P100" t="str">
        <f t="shared" si="13"/>
        <v>MAT104|13-Jun-2026</v>
      </c>
      <c r="Q100">
        <f t="shared" si="14"/>
        <v>0</v>
      </c>
      <c r="R100">
        <f t="shared" si="15"/>
        <v>0</v>
      </c>
      <c r="S100">
        <f t="shared" si="16"/>
        <v>0</v>
      </c>
      <c r="T100">
        <f t="shared" si="17"/>
        <v>0</v>
      </c>
      <c r="U100">
        <f t="shared" si="18"/>
        <v>0</v>
      </c>
      <c r="V100" t="str">
        <f t="shared" si="19"/>
        <v>No Exception</v>
      </c>
    </row>
    <row r="101" spans="1:22" x14ac:dyDescent="0.35">
      <c r="A101" t="s">
        <v>194</v>
      </c>
      <c r="B101" t="s">
        <v>58</v>
      </c>
      <c r="C101" t="s">
        <v>73</v>
      </c>
      <c r="D101" t="s">
        <v>74</v>
      </c>
      <c r="E101" t="s">
        <v>70</v>
      </c>
      <c r="F101" t="s">
        <v>71</v>
      </c>
      <c r="G101" t="s">
        <v>66</v>
      </c>
      <c r="H101" s="1">
        <v>46185</v>
      </c>
      <c r="I101">
        <v>140</v>
      </c>
      <c r="J101">
        <v>151</v>
      </c>
      <c r="K101" t="s">
        <v>29</v>
      </c>
      <c r="L101">
        <v>21140</v>
      </c>
      <c r="M101" t="str">
        <f t="shared" si="10"/>
        <v>MAT111|PL01|Vendor 7|12-Jun-2026</v>
      </c>
      <c r="N101" t="str">
        <f t="shared" si="11"/>
        <v>MAT111|PL01|12-Jun-2026</v>
      </c>
      <c r="O101" t="str">
        <f t="shared" si="12"/>
        <v>MAT111|Vendor 7|12-Jun-2026</v>
      </c>
      <c r="P101" t="str">
        <f t="shared" si="13"/>
        <v>MAT111|12-Jun-2026</v>
      </c>
      <c r="Q101">
        <f t="shared" si="14"/>
        <v>0</v>
      </c>
      <c r="R101">
        <f t="shared" si="15"/>
        <v>0</v>
      </c>
      <c r="S101">
        <f t="shared" si="16"/>
        <v>0</v>
      </c>
      <c r="T101">
        <f t="shared" si="17"/>
        <v>0</v>
      </c>
      <c r="U101">
        <f t="shared" si="18"/>
        <v>0</v>
      </c>
      <c r="V101" t="str">
        <f t="shared" si="19"/>
        <v>No Exception</v>
      </c>
    </row>
    <row r="102" spans="1:22" x14ac:dyDescent="0.35">
      <c r="A102" t="s">
        <v>195</v>
      </c>
      <c r="B102" t="s">
        <v>23</v>
      </c>
      <c r="C102" t="s">
        <v>24</v>
      </c>
      <c r="D102" t="s">
        <v>25</v>
      </c>
      <c r="E102" t="s">
        <v>26</v>
      </c>
      <c r="F102" t="s">
        <v>27</v>
      </c>
      <c r="G102" t="s">
        <v>28</v>
      </c>
      <c r="H102" s="1">
        <v>46179</v>
      </c>
      <c r="I102">
        <v>125</v>
      </c>
      <c r="J102">
        <v>28</v>
      </c>
      <c r="K102" t="s">
        <v>29</v>
      </c>
      <c r="L102">
        <v>3500</v>
      </c>
      <c r="M102" t="str">
        <f t="shared" si="10"/>
        <v>MAT110|PL04|Vendor 3|06-Jun-2026</v>
      </c>
      <c r="N102" t="str">
        <f t="shared" si="11"/>
        <v>MAT110|PL04|06-Jun-2026</v>
      </c>
      <c r="O102" t="str">
        <f t="shared" si="12"/>
        <v>MAT110|Vendor 3|06-Jun-2026</v>
      </c>
      <c r="P102" t="str">
        <f t="shared" si="13"/>
        <v>MAT110|06-Jun-2026</v>
      </c>
      <c r="Q102">
        <f t="shared" si="14"/>
        <v>1</v>
      </c>
      <c r="R102">
        <f t="shared" si="15"/>
        <v>0</v>
      </c>
      <c r="S102">
        <f t="shared" si="16"/>
        <v>0</v>
      </c>
      <c r="T102">
        <f t="shared" si="17"/>
        <v>0</v>
      </c>
      <c r="U102">
        <f t="shared" si="18"/>
        <v>1</v>
      </c>
      <c r="V102" t="str">
        <f t="shared" si="19"/>
        <v>Scenario A</v>
      </c>
    </row>
    <row r="103" spans="1:22" x14ac:dyDescent="0.35">
      <c r="A103" t="s">
        <v>196</v>
      </c>
      <c r="B103" t="s">
        <v>23</v>
      </c>
      <c r="C103" t="s">
        <v>50</v>
      </c>
      <c r="D103" t="s">
        <v>51</v>
      </c>
      <c r="E103" t="s">
        <v>40</v>
      </c>
      <c r="F103" t="s">
        <v>41</v>
      </c>
      <c r="G103" t="s">
        <v>36</v>
      </c>
      <c r="H103" s="1">
        <v>46183</v>
      </c>
      <c r="I103">
        <v>215</v>
      </c>
      <c r="J103">
        <v>150</v>
      </c>
      <c r="K103" t="s">
        <v>29</v>
      </c>
      <c r="L103">
        <v>32250</v>
      </c>
      <c r="M103" t="str">
        <f t="shared" si="10"/>
        <v>MAT105|PL02|Vendor 2|10-Jun-2026</v>
      </c>
      <c r="N103" t="str">
        <f t="shared" si="11"/>
        <v>MAT105|PL02|10-Jun-2026</v>
      </c>
      <c r="O103" t="str">
        <f t="shared" si="12"/>
        <v>MAT105|Vendor 2|10-Jun-2026</v>
      </c>
      <c r="P103" t="str">
        <f t="shared" si="13"/>
        <v>MAT105|10-Jun-2026</v>
      </c>
      <c r="Q103">
        <f t="shared" si="14"/>
        <v>1</v>
      </c>
      <c r="R103">
        <f t="shared" si="15"/>
        <v>0</v>
      </c>
      <c r="S103">
        <f t="shared" si="16"/>
        <v>0</v>
      </c>
      <c r="T103">
        <f t="shared" si="17"/>
        <v>0</v>
      </c>
      <c r="U103">
        <f t="shared" si="18"/>
        <v>1</v>
      </c>
      <c r="V103" t="str">
        <f t="shared" si="19"/>
        <v>Scenario A</v>
      </c>
    </row>
    <row r="104" spans="1:22" x14ac:dyDescent="0.35">
      <c r="A104" t="s">
        <v>197</v>
      </c>
      <c r="B104" t="s">
        <v>44</v>
      </c>
      <c r="C104" t="s">
        <v>68</v>
      </c>
      <c r="D104" t="s">
        <v>69</v>
      </c>
      <c r="E104" t="s">
        <v>70</v>
      </c>
      <c r="F104" t="s">
        <v>71</v>
      </c>
      <c r="G104" t="s">
        <v>66</v>
      </c>
      <c r="H104" s="1">
        <v>46179</v>
      </c>
      <c r="I104">
        <v>185</v>
      </c>
      <c r="J104">
        <v>152</v>
      </c>
      <c r="K104" t="s">
        <v>29</v>
      </c>
      <c r="L104">
        <v>28120</v>
      </c>
      <c r="M104" t="str">
        <f t="shared" si="10"/>
        <v>MAT115|PL01|Vendor 7|06-Jun-2026</v>
      </c>
      <c r="N104" t="str">
        <f t="shared" si="11"/>
        <v>MAT115|PL01|06-Jun-2026</v>
      </c>
      <c r="O104" t="str">
        <f t="shared" si="12"/>
        <v>MAT115|Vendor 7|06-Jun-2026</v>
      </c>
      <c r="P104" t="str">
        <f t="shared" si="13"/>
        <v>MAT115|06-Jun-2026</v>
      </c>
      <c r="Q104">
        <f t="shared" si="14"/>
        <v>1</v>
      </c>
      <c r="R104">
        <f t="shared" si="15"/>
        <v>0</v>
      </c>
      <c r="S104">
        <f t="shared" si="16"/>
        <v>0</v>
      </c>
      <c r="T104">
        <f t="shared" si="17"/>
        <v>0</v>
      </c>
      <c r="U104">
        <f t="shared" si="18"/>
        <v>1</v>
      </c>
      <c r="V104" t="str">
        <f t="shared" si="19"/>
        <v>Scenario A</v>
      </c>
    </row>
    <row r="105" spans="1:22" x14ac:dyDescent="0.35">
      <c r="A105" t="s">
        <v>198</v>
      </c>
      <c r="B105" t="s">
        <v>23</v>
      </c>
      <c r="C105" t="s">
        <v>79</v>
      </c>
      <c r="D105" t="s">
        <v>80</v>
      </c>
      <c r="E105" t="s">
        <v>26</v>
      </c>
      <c r="F105" t="s">
        <v>27</v>
      </c>
      <c r="G105" t="s">
        <v>36</v>
      </c>
      <c r="H105" s="1">
        <v>46176</v>
      </c>
      <c r="I105">
        <v>305</v>
      </c>
      <c r="J105">
        <v>137</v>
      </c>
      <c r="K105" t="s">
        <v>29</v>
      </c>
      <c r="L105">
        <v>41785</v>
      </c>
      <c r="M105" t="str">
        <f t="shared" si="10"/>
        <v>MAT109|PL02|Vendor 3|03-Jun-2026</v>
      </c>
      <c r="N105" t="str">
        <f t="shared" si="11"/>
        <v>MAT109|PL02|03-Jun-2026</v>
      </c>
      <c r="O105" t="str">
        <f t="shared" si="12"/>
        <v>MAT109|Vendor 3|03-Jun-2026</v>
      </c>
      <c r="P105" t="str">
        <f t="shared" si="13"/>
        <v>MAT109|03-Jun-2026</v>
      </c>
      <c r="Q105">
        <f t="shared" si="14"/>
        <v>1</v>
      </c>
      <c r="R105">
        <f t="shared" si="15"/>
        <v>0</v>
      </c>
      <c r="S105">
        <f t="shared" si="16"/>
        <v>0</v>
      </c>
      <c r="T105">
        <f t="shared" si="17"/>
        <v>0</v>
      </c>
      <c r="U105">
        <f t="shared" si="18"/>
        <v>1</v>
      </c>
      <c r="V105" t="str">
        <f t="shared" si="19"/>
        <v>Scenario A</v>
      </c>
    </row>
    <row r="106" spans="1:22" x14ac:dyDescent="0.35">
      <c r="A106" t="s">
        <v>199</v>
      </c>
      <c r="B106" t="s">
        <v>31</v>
      </c>
      <c r="C106" t="s">
        <v>96</v>
      </c>
      <c r="D106" t="s">
        <v>97</v>
      </c>
      <c r="E106" t="s">
        <v>122</v>
      </c>
      <c r="F106" t="s">
        <v>123</v>
      </c>
      <c r="G106" t="s">
        <v>66</v>
      </c>
      <c r="H106" s="1">
        <v>46180</v>
      </c>
      <c r="I106">
        <v>260</v>
      </c>
      <c r="J106">
        <v>184</v>
      </c>
      <c r="K106" t="s">
        <v>29</v>
      </c>
      <c r="L106">
        <v>47840</v>
      </c>
      <c r="M106" t="str">
        <f t="shared" si="10"/>
        <v>MAT116|PL01|Vendor 12|07-Jun-2026</v>
      </c>
      <c r="N106" t="str">
        <f t="shared" si="11"/>
        <v>MAT116|PL01|07-Jun-2026</v>
      </c>
      <c r="O106" t="str">
        <f t="shared" si="12"/>
        <v>MAT116|Vendor 12|07-Jun-2026</v>
      </c>
      <c r="P106" t="str">
        <f t="shared" si="13"/>
        <v>MAT116|07-Jun-2026</v>
      </c>
      <c r="Q106">
        <f t="shared" si="14"/>
        <v>0</v>
      </c>
      <c r="R106">
        <f t="shared" si="15"/>
        <v>1</v>
      </c>
      <c r="S106">
        <f t="shared" si="16"/>
        <v>0</v>
      </c>
      <c r="T106">
        <f t="shared" si="17"/>
        <v>0</v>
      </c>
      <c r="U106">
        <f t="shared" si="18"/>
        <v>1</v>
      </c>
      <c r="V106" t="str">
        <f t="shared" si="19"/>
        <v>Scenario B</v>
      </c>
    </row>
    <row r="107" spans="1:22" x14ac:dyDescent="0.35">
      <c r="A107" t="s">
        <v>200</v>
      </c>
      <c r="B107" t="s">
        <v>31</v>
      </c>
      <c r="C107" t="s">
        <v>73</v>
      </c>
      <c r="D107" t="s">
        <v>74</v>
      </c>
      <c r="E107" t="s">
        <v>81</v>
      </c>
      <c r="F107" t="s">
        <v>82</v>
      </c>
      <c r="G107" t="s">
        <v>66</v>
      </c>
      <c r="H107" s="1">
        <v>46181</v>
      </c>
      <c r="I107">
        <v>175</v>
      </c>
      <c r="J107">
        <v>134</v>
      </c>
      <c r="K107" t="s">
        <v>29</v>
      </c>
      <c r="L107">
        <v>23450</v>
      </c>
      <c r="M107" t="str">
        <f t="shared" si="10"/>
        <v>MAT111|PL01|Vendor 11|08-Jun-2026</v>
      </c>
      <c r="N107" t="str">
        <f t="shared" si="11"/>
        <v>MAT111|PL01|08-Jun-2026</v>
      </c>
      <c r="O107" t="str">
        <f t="shared" si="12"/>
        <v>MAT111|Vendor 11|08-Jun-2026</v>
      </c>
      <c r="P107" t="str">
        <f t="shared" si="13"/>
        <v>MAT111|08-Jun-2026</v>
      </c>
      <c r="Q107">
        <f t="shared" si="14"/>
        <v>0</v>
      </c>
      <c r="R107">
        <f t="shared" si="15"/>
        <v>1</v>
      </c>
      <c r="S107">
        <f t="shared" si="16"/>
        <v>0</v>
      </c>
      <c r="T107">
        <f t="shared" si="17"/>
        <v>0</v>
      </c>
      <c r="U107">
        <f t="shared" si="18"/>
        <v>1</v>
      </c>
      <c r="V107" t="str">
        <f t="shared" si="19"/>
        <v>Scenario B</v>
      </c>
    </row>
    <row r="108" spans="1:22" x14ac:dyDescent="0.35">
      <c r="A108" t="s">
        <v>201</v>
      </c>
      <c r="B108" t="s">
        <v>58</v>
      </c>
      <c r="C108" t="s">
        <v>38</v>
      </c>
      <c r="D108" t="s">
        <v>39</v>
      </c>
      <c r="E108" t="s">
        <v>55</v>
      </c>
      <c r="F108" t="s">
        <v>56</v>
      </c>
      <c r="G108" t="s">
        <v>36</v>
      </c>
      <c r="H108" s="1">
        <v>46177</v>
      </c>
      <c r="I108">
        <v>325</v>
      </c>
      <c r="J108">
        <v>199</v>
      </c>
      <c r="K108" t="s">
        <v>29</v>
      </c>
      <c r="L108">
        <v>64675</v>
      </c>
      <c r="M108" t="str">
        <f t="shared" si="10"/>
        <v>MAT107|PL02|Vendor 10|04-Jun-2026</v>
      </c>
      <c r="N108" t="str">
        <f t="shared" si="11"/>
        <v>MAT107|PL02|04-Jun-2026</v>
      </c>
      <c r="O108" t="str">
        <f t="shared" si="12"/>
        <v>MAT107|Vendor 10|04-Jun-2026</v>
      </c>
      <c r="P108" t="str">
        <f t="shared" si="13"/>
        <v>MAT107|04-Jun-2026</v>
      </c>
      <c r="Q108">
        <f t="shared" si="14"/>
        <v>1</v>
      </c>
      <c r="R108">
        <f t="shared" si="15"/>
        <v>0</v>
      </c>
      <c r="S108">
        <f t="shared" si="16"/>
        <v>0</v>
      </c>
      <c r="T108">
        <f t="shared" si="17"/>
        <v>0</v>
      </c>
      <c r="U108">
        <f t="shared" si="18"/>
        <v>1</v>
      </c>
      <c r="V108" t="str">
        <f t="shared" si="19"/>
        <v>Scenario A</v>
      </c>
    </row>
    <row r="109" spans="1:22" x14ac:dyDescent="0.35">
      <c r="A109" t="s">
        <v>202</v>
      </c>
      <c r="B109" t="s">
        <v>58</v>
      </c>
      <c r="C109" t="s">
        <v>76</v>
      </c>
      <c r="D109" t="s">
        <v>77</v>
      </c>
      <c r="E109" t="s">
        <v>113</v>
      </c>
      <c r="F109" t="s">
        <v>114</v>
      </c>
      <c r="G109" t="s">
        <v>66</v>
      </c>
      <c r="H109" s="1">
        <v>46180</v>
      </c>
      <c r="I109">
        <v>205</v>
      </c>
      <c r="J109">
        <v>132</v>
      </c>
      <c r="K109" t="s">
        <v>29</v>
      </c>
      <c r="L109">
        <v>27060</v>
      </c>
      <c r="M109" t="str">
        <f t="shared" si="10"/>
        <v>MAT102|PL01|Vendor 9|07-Jun-2026</v>
      </c>
      <c r="N109" t="str">
        <f t="shared" si="11"/>
        <v>MAT102|PL01|07-Jun-2026</v>
      </c>
      <c r="O109" t="str">
        <f t="shared" si="12"/>
        <v>MAT102|Vendor 9|07-Jun-2026</v>
      </c>
      <c r="P109" t="str">
        <f t="shared" si="13"/>
        <v>MAT102|07-Jun-2026</v>
      </c>
      <c r="Q109">
        <f t="shared" si="14"/>
        <v>0</v>
      </c>
      <c r="R109">
        <f t="shared" si="15"/>
        <v>1</v>
      </c>
      <c r="S109">
        <f t="shared" si="16"/>
        <v>0</v>
      </c>
      <c r="T109">
        <f t="shared" si="17"/>
        <v>0</v>
      </c>
      <c r="U109">
        <f t="shared" si="18"/>
        <v>1</v>
      </c>
      <c r="V109" t="str">
        <f t="shared" si="19"/>
        <v>Scenario B</v>
      </c>
    </row>
    <row r="110" spans="1:22" x14ac:dyDescent="0.35">
      <c r="A110" t="s">
        <v>203</v>
      </c>
      <c r="B110" t="s">
        <v>44</v>
      </c>
      <c r="C110" t="s">
        <v>45</v>
      </c>
      <c r="D110" t="s">
        <v>46</v>
      </c>
      <c r="E110" t="s">
        <v>70</v>
      </c>
      <c r="F110" t="s">
        <v>71</v>
      </c>
      <c r="G110" t="s">
        <v>28</v>
      </c>
      <c r="H110" s="1">
        <v>46177</v>
      </c>
      <c r="I110">
        <v>205</v>
      </c>
      <c r="J110">
        <v>17</v>
      </c>
      <c r="K110" t="s">
        <v>29</v>
      </c>
      <c r="L110">
        <v>3485</v>
      </c>
      <c r="M110" t="str">
        <f t="shared" si="10"/>
        <v>MAT104|PL04|Vendor 7|04-Jun-2026</v>
      </c>
      <c r="N110" t="str">
        <f t="shared" si="11"/>
        <v>MAT104|PL04|04-Jun-2026</v>
      </c>
      <c r="O110" t="str">
        <f t="shared" si="12"/>
        <v>MAT104|Vendor 7|04-Jun-2026</v>
      </c>
      <c r="P110" t="str">
        <f t="shared" si="13"/>
        <v>MAT104|04-Jun-2026</v>
      </c>
      <c r="Q110">
        <f t="shared" si="14"/>
        <v>0</v>
      </c>
      <c r="R110">
        <f t="shared" si="15"/>
        <v>0</v>
      </c>
      <c r="S110">
        <f t="shared" si="16"/>
        <v>1</v>
      </c>
      <c r="T110">
        <f t="shared" si="17"/>
        <v>0</v>
      </c>
      <c r="U110">
        <f t="shared" si="18"/>
        <v>1</v>
      </c>
      <c r="V110" t="str">
        <f t="shared" si="19"/>
        <v>Scenario C</v>
      </c>
    </row>
    <row r="111" spans="1:22" x14ac:dyDescent="0.35">
      <c r="A111" t="s">
        <v>204</v>
      </c>
      <c r="B111" t="s">
        <v>31</v>
      </c>
      <c r="C111" t="s">
        <v>64</v>
      </c>
      <c r="D111" t="s">
        <v>65</v>
      </c>
      <c r="E111" t="s">
        <v>122</v>
      </c>
      <c r="F111" t="s">
        <v>123</v>
      </c>
      <c r="G111" t="s">
        <v>62</v>
      </c>
      <c r="H111" s="1">
        <v>46186</v>
      </c>
      <c r="I111">
        <v>315</v>
      </c>
      <c r="J111">
        <v>93</v>
      </c>
      <c r="K111" t="s">
        <v>29</v>
      </c>
      <c r="L111">
        <v>29295</v>
      </c>
      <c r="M111" t="str">
        <f t="shared" si="10"/>
        <v>MAT119|PL03|Vendor 12|13-Jun-2026</v>
      </c>
      <c r="N111" t="str">
        <f t="shared" si="11"/>
        <v>MAT119|PL03|13-Jun-2026</v>
      </c>
      <c r="O111" t="str">
        <f t="shared" si="12"/>
        <v>MAT119|Vendor 12|13-Jun-2026</v>
      </c>
      <c r="P111" t="str">
        <f t="shared" si="13"/>
        <v>MAT119|13-Jun-2026</v>
      </c>
      <c r="Q111">
        <f t="shared" si="14"/>
        <v>0</v>
      </c>
      <c r="R111">
        <f t="shared" si="15"/>
        <v>0</v>
      </c>
      <c r="S111">
        <f t="shared" si="16"/>
        <v>1</v>
      </c>
      <c r="T111">
        <f t="shared" si="17"/>
        <v>0</v>
      </c>
      <c r="U111">
        <f t="shared" si="18"/>
        <v>1</v>
      </c>
      <c r="V111" t="str">
        <f t="shared" si="19"/>
        <v>Scenario C</v>
      </c>
    </row>
    <row r="112" spans="1:22" x14ac:dyDescent="0.35">
      <c r="A112" t="s">
        <v>205</v>
      </c>
      <c r="B112" t="s">
        <v>58</v>
      </c>
      <c r="C112" t="s">
        <v>138</v>
      </c>
      <c r="D112" t="s">
        <v>139</v>
      </c>
      <c r="E112" t="s">
        <v>70</v>
      </c>
      <c r="F112" t="s">
        <v>71</v>
      </c>
      <c r="G112" t="s">
        <v>36</v>
      </c>
      <c r="H112" s="1">
        <v>46180</v>
      </c>
      <c r="I112">
        <v>195</v>
      </c>
      <c r="J112">
        <v>181</v>
      </c>
      <c r="K112" t="s">
        <v>29</v>
      </c>
      <c r="L112">
        <v>35295</v>
      </c>
      <c r="M112" t="str">
        <f t="shared" si="10"/>
        <v>MAT103|PL02|Vendor 7|07-Jun-2026</v>
      </c>
      <c r="N112" t="str">
        <f t="shared" si="11"/>
        <v>MAT103|PL02|07-Jun-2026</v>
      </c>
      <c r="O112" t="str">
        <f t="shared" si="12"/>
        <v>MAT103|Vendor 7|07-Jun-2026</v>
      </c>
      <c r="P112" t="str">
        <f t="shared" si="13"/>
        <v>MAT103|07-Jun-2026</v>
      </c>
      <c r="Q112">
        <f t="shared" si="14"/>
        <v>0</v>
      </c>
      <c r="R112">
        <f t="shared" si="15"/>
        <v>0</v>
      </c>
      <c r="S112">
        <f t="shared" si="16"/>
        <v>1</v>
      </c>
      <c r="T112">
        <f t="shared" si="17"/>
        <v>0</v>
      </c>
      <c r="U112">
        <f t="shared" si="18"/>
        <v>1</v>
      </c>
      <c r="V112" t="str">
        <f t="shared" si="19"/>
        <v>Scenario C</v>
      </c>
    </row>
    <row r="113" spans="1:22" x14ac:dyDescent="0.35">
      <c r="A113" t="s">
        <v>206</v>
      </c>
      <c r="B113" t="s">
        <v>31</v>
      </c>
      <c r="C113" t="s">
        <v>24</v>
      </c>
      <c r="D113" t="s">
        <v>25</v>
      </c>
      <c r="E113" t="s">
        <v>113</v>
      </c>
      <c r="F113" t="s">
        <v>114</v>
      </c>
      <c r="G113" t="s">
        <v>66</v>
      </c>
      <c r="H113" s="1">
        <v>46179</v>
      </c>
      <c r="I113">
        <v>135</v>
      </c>
      <c r="J113">
        <v>14</v>
      </c>
      <c r="K113" t="s">
        <v>29</v>
      </c>
      <c r="L113">
        <v>1890</v>
      </c>
      <c r="M113" t="str">
        <f t="shared" si="10"/>
        <v>MAT110|PL01|Vendor 9|06-Jun-2026</v>
      </c>
      <c r="N113" t="str">
        <f t="shared" si="11"/>
        <v>MAT110|PL01|06-Jun-2026</v>
      </c>
      <c r="O113" t="str">
        <f t="shared" si="12"/>
        <v>MAT110|Vendor 9|06-Jun-2026</v>
      </c>
      <c r="P113" t="str">
        <f t="shared" si="13"/>
        <v>MAT110|06-Jun-2026</v>
      </c>
      <c r="Q113">
        <f t="shared" si="14"/>
        <v>0</v>
      </c>
      <c r="R113">
        <f t="shared" si="15"/>
        <v>0</v>
      </c>
      <c r="S113">
        <f t="shared" si="16"/>
        <v>1</v>
      </c>
      <c r="T113">
        <f t="shared" si="17"/>
        <v>0</v>
      </c>
      <c r="U113">
        <f t="shared" si="18"/>
        <v>1</v>
      </c>
      <c r="V113" t="str">
        <f t="shared" si="19"/>
        <v>Scenario C</v>
      </c>
    </row>
    <row r="114" spans="1:22" x14ac:dyDescent="0.35">
      <c r="A114" t="s">
        <v>207</v>
      </c>
      <c r="B114" t="s">
        <v>23</v>
      </c>
      <c r="C114" t="s">
        <v>76</v>
      </c>
      <c r="D114" t="s">
        <v>77</v>
      </c>
      <c r="E114" t="s">
        <v>59</v>
      </c>
      <c r="F114" t="s">
        <v>60</v>
      </c>
      <c r="G114" t="s">
        <v>28</v>
      </c>
      <c r="H114" s="1">
        <v>46183</v>
      </c>
      <c r="I114">
        <v>230</v>
      </c>
      <c r="J114">
        <v>76</v>
      </c>
      <c r="K114" t="s">
        <v>29</v>
      </c>
      <c r="L114">
        <v>17480</v>
      </c>
      <c r="M114" t="str">
        <f t="shared" si="10"/>
        <v>MAT102|PL04|Vendor 8|10-Jun-2026</v>
      </c>
      <c r="N114" t="str">
        <f t="shared" si="11"/>
        <v>MAT102|PL04|10-Jun-2026</v>
      </c>
      <c r="O114" t="str">
        <f t="shared" si="12"/>
        <v>MAT102|Vendor 8|10-Jun-2026</v>
      </c>
      <c r="P114" t="str">
        <f t="shared" si="13"/>
        <v>MAT102|10-Jun-2026</v>
      </c>
      <c r="Q114">
        <f t="shared" si="14"/>
        <v>0</v>
      </c>
      <c r="R114">
        <f t="shared" si="15"/>
        <v>0</v>
      </c>
      <c r="S114">
        <f t="shared" si="16"/>
        <v>0</v>
      </c>
      <c r="T114">
        <f t="shared" si="17"/>
        <v>1</v>
      </c>
      <c r="U114">
        <f t="shared" si="18"/>
        <v>1</v>
      </c>
      <c r="V114" t="str">
        <f t="shared" si="19"/>
        <v>Scenario D</v>
      </c>
    </row>
    <row r="115" spans="1:22" x14ac:dyDescent="0.35">
      <c r="A115" t="s">
        <v>208</v>
      </c>
      <c r="B115" t="s">
        <v>58</v>
      </c>
      <c r="C115" t="s">
        <v>105</v>
      </c>
      <c r="D115" t="s">
        <v>106</v>
      </c>
      <c r="E115" t="s">
        <v>70</v>
      </c>
      <c r="F115" t="s">
        <v>71</v>
      </c>
      <c r="G115" t="s">
        <v>66</v>
      </c>
      <c r="H115" s="1">
        <v>46182</v>
      </c>
      <c r="I115">
        <v>180</v>
      </c>
      <c r="J115">
        <v>197</v>
      </c>
      <c r="K115" t="s">
        <v>29</v>
      </c>
      <c r="L115">
        <v>35460</v>
      </c>
      <c r="M115" t="str">
        <f t="shared" si="10"/>
        <v>MAT100|PL01|Vendor 7|09-Jun-2026</v>
      </c>
      <c r="N115" t="str">
        <f t="shared" si="11"/>
        <v>MAT100|PL01|09-Jun-2026</v>
      </c>
      <c r="O115" t="str">
        <f t="shared" si="12"/>
        <v>MAT100|Vendor 7|09-Jun-2026</v>
      </c>
      <c r="P115" t="str">
        <f t="shared" si="13"/>
        <v>MAT100|09-Jun-2026</v>
      </c>
      <c r="Q115">
        <f t="shared" si="14"/>
        <v>0</v>
      </c>
      <c r="R115">
        <f t="shared" si="15"/>
        <v>1</v>
      </c>
      <c r="S115">
        <f t="shared" si="16"/>
        <v>0</v>
      </c>
      <c r="T115">
        <f t="shared" si="17"/>
        <v>0</v>
      </c>
      <c r="U115">
        <f t="shared" si="18"/>
        <v>1</v>
      </c>
      <c r="V115" t="str">
        <f t="shared" si="19"/>
        <v>Scenario B</v>
      </c>
    </row>
    <row r="116" spans="1:22" x14ac:dyDescent="0.35">
      <c r="A116" t="s">
        <v>209</v>
      </c>
      <c r="B116" t="s">
        <v>58</v>
      </c>
      <c r="C116" t="s">
        <v>53</v>
      </c>
      <c r="D116" t="s">
        <v>54</v>
      </c>
      <c r="E116" t="s">
        <v>86</v>
      </c>
      <c r="F116" t="s">
        <v>87</v>
      </c>
      <c r="G116" t="s">
        <v>36</v>
      </c>
      <c r="H116" s="1">
        <v>46185</v>
      </c>
      <c r="I116">
        <v>190</v>
      </c>
      <c r="J116">
        <v>163</v>
      </c>
      <c r="K116" t="s">
        <v>29</v>
      </c>
      <c r="L116">
        <v>30970</v>
      </c>
      <c r="M116" t="str">
        <f t="shared" si="10"/>
        <v>MAT101|PL02|Vendor 6|12-Jun-2026</v>
      </c>
      <c r="N116" t="str">
        <f t="shared" si="11"/>
        <v>MAT101|PL02|12-Jun-2026</v>
      </c>
      <c r="O116" t="str">
        <f t="shared" si="12"/>
        <v>MAT101|Vendor 6|12-Jun-2026</v>
      </c>
      <c r="P116" t="str">
        <f t="shared" si="13"/>
        <v>MAT101|12-Jun-2026</v>
      </c>
      <c r="Q116">
        <f t="shared" si="14"/>
        <v>0</v>
      </c>
      <c r="R116">
        <f t="shared" si="15"/>
        <v>0</v>
      </c>
      <c r="S116">
        <f t="shared" si="16"/>
        <v>0</v>
      </c>
      <c r="T116">
        <f t="shared" si="17"/>
        <v>1</v>
      </c>
      <c r="U116">
        <f t="shared" si="18"/>
        <v>1</v>
      </c>
      <c r="V116" t="str">
        <f t="shared" si="19"/>
        <v>Scenario D</v>
      </c>
    </row>
    <row r="117" spans="1:22" x14ac:dyDescent="0.35">
      <c r="A117" t="s">
        <v>210</v>
      </c>
      <c r="B117" t="s">
        <v>23</v>
      </c>
      <c r="C117" t="s">
        <v>76</v>
      </c>
      <c r="D117" t="s">
        <v>77</v>
      </c>
      <c r="E117" t="s">
        <v>47</v>
      </c>
      <c r="F117" t="s">
        <v>48</v>
      </c>
      <c r="G117" t="s">
        <v>62</v>
      </c>
      <c r="H117" s="1">
        <v>46178</v>
      </c>
      <c r="I117">
        <v>190</v>
      </c>
      <c r="J117">
        <v>110</v>
      </c>
      <c r="K117" t="s">
        <v>29</v>
      </c>
      <c r="L117">
        <v>20900</v>
      </c>
      <c r="M117" t="str">
        <f t="shared" si="10"/>
        <v>MAT102|PL03|Vendor 5|05-Jun-2026</v>
      </c>
      <c r="N117" t="str">
        <f t="shared" si="11"/>
        <v>MAT102|PL03|05-Jun-2026</v>
      </c>
      <c r="O117" t="str">
        <f t="shared" si="12"/>
        <v>MAT102|Vendor 5|05-Jun-2026</v>
      </c>
      <c r="P117" t="str">
        <f t="shared" si="13"/>
        <v>MAT102|05-Jun-2026</v>
      </c>
      <c r="Q117">
        <f t="shared" si="14"/>
        <v>0</v>
      </c>
      <c r="R117">
        <f t="shared" si="15"/>
        <v>0</v>
      </c>
      <c r="S117">
        <f t="shared" si="16"/>
        <v>0</v>
      </c>
      <c r="T117">
        <f t="shared" si="17"/>
        <v>1</v>
      </c>
      <c r="U117">
        <f t="shared" si="18"/>
        <v>1</v>
      </c>
      <c r="V117" t="str">
        <f t="shared" si="19"/>
        <v>Scenario 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1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Jain</dc:creator>
  <cp:lastModifiedBy>Khushi Jain</cp:lastModifiedBy>
  <dcterms:created xsi:type="dcterms:W3CDTF">2026-07-04T18:00:41Z</dcterms:created>
  <dcterms:modified xsi:type="dcterms:W3CDTF">2026-07-04T18:01:39Z</dcterms:modified>
</cp:coreProperties>
</file>